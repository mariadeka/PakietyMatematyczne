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riadeka/Desktop/studia/3. semestr/"/>
    </mc:Choice>
  </mc:AlternateContent>
  <xr:revisionPtr revIDLastSave="0" documentId="13_ncr:1_{20BC9D5C-978C-6942-B884-14C4F2C2CA8D}" xr6:coauthVersionLast="47" xr6:coauthVersionMax="47" xr10:uidLastSave="{00000000-0000-0000-0000-000000000000}"/>
  <bookViews>
    <workbookView xWindow="0" yWindow="500" windowWidth="28800" windowHeight="15580" xr2:uid="{97670D1B-F18F-724C-BF7F-1187D8EE0DA8}"/>
  </bookViews>
  <sheets>
    <sheet name="Arkusz1" sheetId="1" r:id="rId1"/>
    <sheet name="Arkusz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0" i="1"/>
  <c r="F8" i="1"/>
  <c r="B23" i="1" a="1"/>
  <c r="B55" i="1" a="1"/>
  <c r="B87" i="1" a="1"/>
  <c r="B92" i="1" a="1"/>
  <c r="B57" i="1" a="1"/>
  <c r="B30" i="1" a="1"/>
  <c r="B16" i="1" a="1"/>
  <c r="B48" i="1" a="1"/>
  <c r="B88" i="1" a="1"/>
  <c r="B53" i="1" a="1"/>
  <c r="B26" i="1" a="1"/>
  <c r="B18" i="1" a="1"/>
  <c r="B10" i="1" a="1"/>
  <c r="B31" i="1" a="1"/>
  <c r="B95" i="1" a="1"/>
  <c r="B73" i="1" a="1"/>
  <c r="B24" i="1" a="1"/>
  <c r="B104" i="1" a="1"/>
  <c r="B46" i="1" a="1"/>
  <c r="D6" i="1" a="1"/>
  <c r="B67" i="1" a="1"/>
  <c r="B81" i="1" a="1"/>
  <c r="B60" i="1" a="1"/>
  <c r="B78" i="1" a="1"/>
  <c r="B39" i="1" a="1"/>
  <c r="B71" i="1" a="1"/>
  <c r="B25" i="1" a="1"/>
  <c r="B74" i="1" a="1"/>
  <c r="B64" i="1" a="1"/>
  <c r="B85" i="1" a="1"/>
  <c r="B94" i="1" a="1"/>
  <c r="B43" i="1" a="1"/>
  <c r="B107" i="1" a="1"/>
  <c r="B86" i="1" a="1"/>
  <c r="B68" i="1" a="1"/>
  <c r="B93" i="1" a="1"/>
  <c r="B82" i="1" a="1"/>
  <c r="B27" i="1" a="1"/>
  <c r="B59" i="1" a="1"/>
  <c r="B91" i="1" a="1"/>
  <c r="B100" i="1" a="1"/>
  <c r="B65" i="1" a="1"/>
  <c r="B38" i="1" a="1"/>
  <c r="B20" i="1" a="1"/>
  <c r="B52" i="1" a="1"/>
  <c r="B96" i="1" a="1"/>
  <c r="B61" i="1" a="1"/>
  <c r="B34" i="1" a="1"/>
  <c r="B42" i="1" a="1"/>
  <c r="E6" i="1" a="1"/>
  <c r="B63" i="1" a="1"/>
  <c r="B108" i="1" a="1"/>
  <c r="B50" i="1" a="1"/>
  <c r="B56" i="1" a="1"/>
  <c r="B69" i="1" a="1"/>
  <c r="B62" i="1" a="1"/>
  <c r="B99" i="1" a="1"/>
  <c r="B66" i="1" a="1"/>
  <c r="B77" i="1" a="1"/>
  <c r="B103" i="1" a="1"/>
  <c r="B89" i="1" a="1"/>
  <c r="B32" i="1" a="1"/>
  <c r="B21" i="1" a="1"/>
  <c r="B70" i="1" a="1"/>
  <c r="B11" i="1" a="1"/>
  <c r="B75" i="1" a="1"/>
  <c r="B33" i="1" a="1"/>
  <c r="B97" i="1" a="1"/>
  <c r="B36" i="1" a="1"/>
  <c r="B29" i="1" a="1"/>
  <c r="B14" i="1" a="1"/>
  <c r="B15" i="1" a="1"/>
  <c r="B47" i="1" a="1"/>
  <c r="B79" i="1" a="1"/>
  <c r="B72" i="1" a="1"/>
  <c r="B41" i="1" a="1"/>
  <c r="B105" i="1" a="1"/>
  <c r="B102" i="1" a="1"/>
  <c r="B40" i="1" a="1"/>
  <c r="B76" i="1" a="1"/>
  <c r="B37" i="1" a="1"/>
  <c r="B101" i="1" a="1"/>
  <c r="B90" i="1" a="1"/>
  <c r="B58" i="1" a="1"/>
  <c r="B19" i="1" a="1"/>
  <c r="B51" i="1" a="1"/>
  <c r="B83" i="1" a="1"/>
  <c r="B84" i="1" a="1"/>
  <c r="B49" i="1" a="1"/>
  <c r="B22" i="1" a="1"/>
  <c r="B12" i="1" a="1"/>
  <c r="B44" i="1" a="1"/>
  <c r="B80" i="1" a="1"/>
  <c r="B45" i="1" a="1"/>
  <c r="B109" i="1" a="1"/>
  <c r="B106" i="1" a="1"/>
  <c r="B98" i="1" a="1"/>
  <c r="B35" i="1" a="1"/>
  <c r="B17" i="1" a="1"/>
  <c r="B28" i="1" a="1"/>
  <c r="B13" i="1" a="1"/>
  <c r="B54" i="1" a="1"/>
  <c r="C6" i="1" a="1"/>
  <c r="B98" i="1" l="1"/>
  <c r="D98" i="1" s="1"/>
  <c r="B58" i="1"/>
  <c r="D58" i="1" s="1"/>
  <c r="B14" i="1"/>
  <c r="D14" i="1" s="1"/>
  <c r="B94" i="1"/>
  <c r="D94" i="1" s="1"/>
  <c r="B78" i="1"/>
  <c r="D78" i="1" s="1"/>
  <c r="B62" i="1"/>
  <c r="D62" i="1" s="1"/>
  <c r="B42" i="1"/>
  <c r="D42" i="1" s="1"/>
  <c r="B18" i="1"/>
  <c r="D18" i="1" s="1"/>
  <c r="B106" i="1"/>
  <c r="D106" i="1" s="1"/>
  <c r="B90" i="1"/>
  <c r="D90" i="1" s="1"/>
  <c r="B82" i="1"/>
  <c r="D82" i="1" s="1"/>
  <c r="B70" i="1"/>
  <c r="D70" i="1" s="1"/>
  <c r="B54" i="1"/>
  <c r="D54" i="1" s="1"/>
  <c r="B46" i="1"/>
  <c r="D46" i="1" s="1"/>
  <c r="B34" i="1"/>
  <c r="D34" i="1" s="1"/>
  <c r="B26" i="1"/>
  <c r="D26" i="1" s="1"/>
  <c r="B109" i="1"/>
  <c r="D109" i="1" s="1"/>
  <c r="B101" i="1"/>
  <c r="D101" i="1" s="1"/>
  <c r="B93" i="1"/>
  <c r="D93" i="1" s="1"/>
  <c r="B85" i="1"/>
  <c r="D85" i="1" s="1"/>
  <c r="B77" i="1"/>
  <c r="D77" i="1" s="1"/>
  <c r="B69" i="1"/>
  <c r="D69" i="1" s="1"/>
  <c r="B61" i="1"/>
  <c r="D61" i="1" s="1"/>
  <c r="B53" i="1"/>
  <c r="D53" i="1" s="1"/>
  <c r="B45" i="1"/>
  <c r="D45" i="1" s="1"/>
  <c r="B37" i="1"/>
  <c r="D37" i="1" s="1"/>
  <c r="B29" i="1"/>
  <c r="D29" i="1" s="1"/>
  <c r="B21" i="1"/>
  <c r="D21" i="1" s="1"/>
  <c r="B13" i="1"/>
  <c r="D13" i="1" s="1"/>
  <c r="B104" i="1"/>
  <c r="D104" i="1" s="1"/>
  <c r="B96" i="1"/>
  <c r="D96" i="1" s="1"/>
  <c r="B88" i="1"/>
  <c r="D88" i="1" s="1"/>
  <c r="B80" i="1"/>
  <c r="D80" i="1" s="1"/>
  <c r="B76" i="1"/>
  <c r="D76" i="1" s="1"/>
  <c r="B68" i="1"/>
  <c r="D68" i="1" s="1"/>
  <c r="B64" i="1"/>
  <c r="D64" i="1" s="1"/>
  <c r="B60" i="1"/>
  <c r="D60" i="1" s="1"/>
  <c r="B56" i="1"/>
  <c r="D56" i="1" s="1"/>
  <c r="B52" i="1"/>
  <c r="D52" i="1" s="1"/>
  <c r="B48" i="1"/>
  <c r="D48" i="1" s="1"/>
  <c r="B44" i="1"/>
  <c r="D44" i="1" s="1"/>
  <c r="B40" i="1"/>
  <c r="D40" i="1" s="1"/>
  <c r="B36" i="1"/>
  <c r="D36" i="1" s="1"/>
  <c r="B32" i="1"/>
  <c r="D32" i="1" s="1"/>
  <c r="B28" i="1"/>
  <c r="D28" i="1" s="1"/>
  <c r="B24" i="1"/>
  <c r="D24" i="1" s="1"/>
  <c r="B20" i="1"/>
  <c r="D20" i="1" s="1"/>
  <c r="B16" i="1"/>
  <c r="D16" i="1" s="1"/>
  <c r="B12" i="1"/>
  <c r="D12" i="1" s="1"/>
  <c r="B102" i="1"/>
  <c r="D102" i="1" s="1"/>
  <c r="B86" i="1"/>
  <c r="D86" i="1" s="1"/>
  <c r="B74" i="1"/>
  <c r="D74" i="1" s="1"/>
  <c r="B66" i="1"/>
  <c r="D66" i="1" s="1"/>
  <c r="B50" i="1"/>
  <c r="D50" i="1" s="1"/>
  <c r="B38" i="1"/>
  <c r="D38" i="1" s="1"/>
  <c r="B30" i="1"/>
  <c r="D30" i="1" s="1"/>
  <c r="B22" i="1"/>
  <c r="D22" i="1" s="1"/>
  <c r="B105" i="1"/>
  <c r="D105" i="1" s="1"/>
  <c r="B97" i="1"/>
  <c r="D97" i="1" s="1"/>
  <c r="B89" i="1"/>
  <c r="D89" i="1" s="1"/>
  <c r="B81" i="1"/>
  <c r="D81" i="1" s="1"/>
  <c r="B73" i="1"/>
  <c r="D73" i="1" s="1"/>
  <c r="B65" i="1"/>
  <c r="D65" i="1" s="1"/>
  <c r="B57" i="1"/>
  <c r="D57" i="1" s="1"/>
  <c r="B49" i="1"/>
  <c r="D49" i="1" s="1"/>
  <c r="B41" i="1"/>
  <c r="D41" i="1" s="1"/>
  <c r="B33" i="1"/>
  <c r="D33" i="1" s="1"/>
  <c r="B25" i="1"/>
  <c r="D25" i="1" s="1"/>
  <c r="B17" i="1"/>
  <c r="D17" i="1" s="1"/>
  <c r="B108" i="1"/>
  <c r="D108" i="1" s="1"/>
  <c r="B100" i="1"/>
  <c r="D100" i="1" s="1"/>
  <c r="B92" i="1"/>
  <c r="D92" i="1" s="1"/>
  <c r="B84" i="1"/>
  <c r="D84" i="1" s="1"/>
  <c r="B72" i="1"/>
  <c r="D72" i="1" s="1"/>
  <c r="B107" i="1"/>
  <c r="D107" i="1" s="1"/>
  <c r="B103" i="1"/>
  <c r="D103" i="1" s="1"/>
  <c r="B99" i="1"/>
  <c r="D99" i="1" s="1"/>
  <c r="B95" i="1"/>
  <c r="D95" i="1" s="1"/>
  <c r="B91" i="1"/>
  <c r="D91" i="1" s="1"/>
  <c r="B87" i="1"/>
  <c r="D87" i="1" s="1"/>
  <c r="B83" i="1"/>
  <c r="D83" i="1" s="1"/>
  <c r="B79" i="1"/>
  <c r="D79" i="1" s="1"/>
  <c r="B75" i="1"/>
  <c r="D75" i="1" s="1"/>
  <c r="B71" i="1"/>
  <c r="D71" i="1" s="1"/>
  <c r="B67" i="1"/>
  <c r="D67" i="1" s="1"/>
  <c r="B63" i="1"/>
  <c r="D63" i="1" s="1"/>
  <c r="B59" i="1"/>
  <c r="D59" i="1" s="1"/>
  <c r="B55" i="1"/>
  <c r="D55" i="1" s="1"/>
  <c r="B51" i="1"/>
  <c r="D51" i="1" s="1"/>
  <c r="B47" i="1"/>
  <c r="D47" i="1" s="1"/>
  <c r="B43" i="1"/>
  <c r="D43" i="1" s="1"/>
  <c r="B39" i="1"/>
  <c r="D39" i="1" s="1"/>
  <c r="B35" i="1"/>
  <c r="D35" i="1" s="1"/>
  <c r="B31" i="1"/>
  <c r="D31" i="1" s="1"/>
  <c r="B27" i="1"/>
  <c r="D27" i="1" s="1"/>
  <c r="B23" i="1"/>
  <c r="D23" i="1" s="1"/>
  <c r="B19" i="1"/>
  <c r="D19" i="1" s="1"/>
  <c r="B15" i="1"/>
  <c r="D15" i="1" s="1"/>
  <c r="B11" i="1"/>
  <c r="D11" i="1" s="1"/>
  <c r="B10" i="1"/>
  <c r="D10" i="1" s="1"/>
  <c r="E6" i="1"/>
  <c r="C6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<sst xmlns="http://schemas.openxmlformats.org/spreadsheetml/2006/main" count="13" uniqueCount="12">
  <si>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N</t>
  </si>
  <si>
    <t>2 a)</t>
  </si>
  <si>
    <t>2 b)</t>
  </si>
  <si>
    <t>2 c)</t>
  </si>
  <si>
    <t>przykładowe wykorzystanie liczenia z funkcji z zadania 1 i 2</t>
  </si>
  <si>
    <t>zadanie 3</t>
  </si>
  <si>
    <t>h</t>
  </si>
  <si>
    <t>wartość</t>
  </si>
  <si>
    <t>błąd</t>
  </si>
  <si>
    <t>wartość całki</t>
  </si>
  <si>
    <t>Czy można stwierdzić jaka jest zależność błędu od h?</t>
  </si>
  <si>
    <t>Tak, błąd wzrasta wraz ze zwiększaniem się 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</si>
</sst>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charset val="238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Arkusz1!$D$9</c:f>
              <c:strCache>
                <c:ptCount val="1"/>
                <c:pt idx="0">
                  <c:v>błąd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Arkusz1!$C$10:$C$109</c:f>
              <c:numCache>
                <c:formatCode>General</c:formatCode>
                <c:ptCount val="100"/>
                <c:pt idx="0">
                  <c:v>0.4</c:v>
                </c:pt>
                <c:pt idx="1">
                  <c:v>0.2</c:v>
                </c:pt>
                <c:pt idx="2">
                  <c:v>0.13333333333333333</c:v>
                </c:pt>
                <c:pt idx="3">
                  <c:v>0.1</c:v>
                </c:pt>
                <c:pt idx="4">
                  <c:v>0.08</c:v>
                </c:pt>
                <c:pt idx="5">
                  <c:v>6.6666666666666666E-2</c:v>
                </c:pt>
                <c:pt idx="6">
                  <c:v>5.7142857142857141E-2</c:v>
                </c:pt>
                <c:pt idx="7">
                  <c:v>0.05</c:v>
                </c:pt>
                <c:pt idx="8">
                  <c:v>4.4444444444444446E-2</c:v>
                </c:pt>
                <c:pt idx="9">
                  <c:v>0.04</c:v>
                </c:pt>
                <c:pt idx="10">
                  <c:v>3.6363636363636362E-2</c:v>
                </c:pt>
                <c:pt idx="11">
                  <c:v>3.3333333333333333E-2</c:v>
                </c:pt>
                <c:pt idx="12">
                  <c:v>3.0769230769230771E-2</c:v>
                </c:pt>
                <c:pt idx="13">
                  <c:v>2.8571428571428571E-2</c:v>
                </c:pt>
                <c:pt idx="14">
                  <c:v>2.6666666666666668E-2</c:v>
                </c:pt>
                <c:pt idx="15">
                  <c:v>2.5000000000000001E-2</c:v>
                </c:pt>
                <c:pt idx="16">
                  <c:v>2.3529411764705882E-2</c:v>
                </c:pt>
                <c:pt idx="17">
                  <c:v>2.2222222222222223E-2</c:v>
                </c:pt>
                <c:pt idx="18">
                  <c:v>2.1052631578947368E-2</c:v>
                </c:pt>
                <c:pt idx="19">
                  <c:v>0.02</c:v>
                </c:pt>
                <c:pt idx="20">
                  <c:v>1.9047619047619049E-2</c:v>
                </c:pt>
                <c:pt idx="21">
                  <c:v>1.8181818181818181E-2</c:v>
                </c:pt>
                <c:pt idx="22">
                  <c:v>1.7391304347826087E-2</c:v>
                </c:pt>
                <c:pt idx="23">
                  <c:v>1.6666666666666666E-2</c:v>
                </c:pt>
                <c:pt idx="24">
                  <c:v>1.6E-2</c:v>
                </c:pt>
                <c:pt idx="25">
                  <c:v>1.5384615384615385E-2</c:v>
                </c:pt>
                <c:pt idx="26">
                  <c:v>1.4814814814814815E-2</c:v>
                </c:pt>
                <c:pt idx="27">
                  <c:v>1.4285714285714285E-2</c:v>
                </c:pt>
                <c:pt idx="28">
                  <c:v>1.3793103448275862E-2</c:v>
                </c:pt>
                <c:pt idx="29">
                  <c:v>1.3333333333333334E-2</c:v>
                </c:pt>
                <c:pt idx="30">
                  <c:v>1.2903225806451613E-2</c:v>
                </c:pt>
                <c:pt idx="31">
                  <c:v>1.2500000000000001E-2</c:v>
                </c:pt>
                <c:pt idx="32">
                  <c:v>1.2121212121212121E-2</c:v>
                </c:pt>
                <c:pt idx="33">
                  <c:v>1.1764705882352941E-2</c:v>
                </c:pt>
                <c:pt idx="34">
                  <c:v>1.1428571428571429E-2</c:v>
                </c:pt>
                <c:pt idx="35">
                  <c:v>1.1111111111111112E-2</c:v>
                </c:pt>
                <c:pt idx="36">
                  <c:v>1.0810810810810811E-2</c:v>
                </c:pt>
                <c:pt idx="37">
                  <c:v>1.0526315789473684E-2</c:v>
                </c:pt>
                <c:pt idx="38">
                  <c:v>1.0256410256410256E-2</c:v>
                </c:pt>
                <c:pt idx="39">
                  <c:v>0.01</c:v>
                </c:pt>
                <c:pt idx="40">
                  <c:v>9.7560975609756097E-3</c:v>
                </c:pt>
                <c:pt idx="41">
                  <c:v>9.5238095238095247E-3</c:v>
                </c:pt>
                <c:pt idx="42">
                  <c:v>9.3023255813953487E-3</c:v>
                </c:pt>
                <c:pt idx="43">
                  <c:v>9.0909090909090905E-3</c:v>
                </c:pt>
                <c:pt idx="44">
                  <c:v>8.8888888888888889E-3</c:v>
                </c:pt>
                <c:pt idx="45">
                  <c:v>8.6956521739130436E-3</c:v>
                </c:pt>
                <c:pt idx="46">
                  <c:v>8.5106382978723406E-3</c:v>
                </c:pt>
                <c:pt idx="47">
                  <c:v>8.3333333333333332E-3</c:v>
                </c:pt>
                <c:pt idx="48">
                  <c:v>8.1632653061224497E-3</c:v>
                </c:pt>
                <c:pt idx="49">
                  <c:v>8.0000000000000002E-3</c:v>
                </c:pt>
                <c:pt idx="50">
                  <c:v>7.8431372549019607E-3</c:v>
                </c:pt>
                <c:pt idx="51">
                  <c:v>7.6923076923076927E-3</c:v>
                </c:pt>
                <c:pt idx="52">
                  <c:v>7.5471698113207548E-3</c:v>
                </c:pt>
                <c:pt idx="53">
                  <c:v>7.4074074074074077E-3</c:v>
                </c:pt>
                <c:pt idx="54">
                  <c:v>7.2727272727272727E-3</c:v>
                </c:pt>
                <c:pt idx="55">
                  <c:v>7.1428571428571426E-3</c:v>
                </c:pt>
                <c:pt idx="56">
                  <c:v>7.0175438596491229E-3</c:v>
                </c:pt>
                <c:pt idx="57">
                  <c:v>6.8965517241379309E-3</c:v>
                </c:pt>
                <c:pt idx="58">
                  <c:v>6.7796610169491523E-3</c:v>
                </c:pt>
                <c:pt idx="59">
                  <c:v>6.6666666666666671E-3</c:v>
                </c:pt>
                <c:pt idx="60">
                  <c:v>6.5573770491803279E-3</c:v>
                </c:pt>
                <c:pt idx="61">
                  <c:v>6.4516129032258064E-3</c:v>
                </c:pt>
                <c:pt idx="62">
                  <c:v>6.3492063492063492E-3</c:v>
                </c:pt>
                <c:pt idx="63">
                  <c:v>6.2500000000000003E-3</c:v>
                </c:pt>
                <c:pt idx="64">
                  <c:v>6.1538461538461538E-3</c:v>
                </c:pt>
                <c:pt idx="65">
                  <c:v>6.0606060606060606E-3</c:v>
                </c:pt>
                <c:pt idx="66">
                  <c:v>5.9701492537313433E-3</c:v>
                </c:pt>
                <c:pt idx="67">
                  <c:v>5.8823529411764705E-3</c:v>
                </c:pt>
                <c:pt idx="68">
                  <c:v>5.7971014492753624E-3</c:v>
                </c:pt>
                <c:pt idx="69">
                  <c:v>5.7142857142857143E-3</c:v>
                </c:pt>
                <c:pt idx="70">
                  <c:v>5.6338028169014088E-3</c:v>
                </c:pt>
                <c:pt idx="71">
                  <c:v>5.5555555555555558E-3</c:v>
                </c:pt>
                <c:pt idx="72">
                  <c:v>5.4794520547945206E-3</c:v>
                </c:pt>
                <c:pt idx="73">
                  <c:v>5.4054054054054057E-3</c:v>
                </c:pt>
                <c:pt idx="74">
                  <c:v>5.3333333333333332E-3</c:v>
                </c:pt>
                <c:pt idx="75">
                  <c:v>5.263157894736842E-3</c:v>
                </c:pt>
                <c:pt idx="76">
                  <c:v>5.1948051948051948E-3</c:v>
                </c:pt>
                <c:pt idx="77">
                  <c:v>5.1282051282051282E-3</c:v>
                </c:pt>
                <c:pt idx="78">
                  <c:v>5.0632911392405064E-3</c:v>
                </c:pt>
                <c:pt idx="79">
                  <c:v>5.0000000000000001E-3</c:v>
                </c:pt>
                <c:pt idx="80">
                  <c:v>4.9382716049382715E-3</c:v>
                </c:pt>
                <c:pt idx="81">
                  <c:v>4.8780487804878049E-3</c:v>
                </c:pt>
                <c:pt idx="82">
                  <c:v>4.8192771084337354E-3</c:v>
                </c:pt>
                <c:pt idx="83">
                  <c:v>4.7619047619047623E-3</c:v>
                </c:pt>
                <c:pt idx="84">
                  <c:v>4.7058823529411761E-3</c:v>
                </c:pt>
                <c:pt idx="85">
                  <c:v>4.6511627906976744E-3</c:v>
                </c:pt>
                <c:pt idx="86">
                  <c:v>4.5977011494252873E-3</c:v>
                </c:pt>
                <c:pt idx="87">
                  <c:v>4.5454545454545452E-3</c:v>
                </c:pt>
                <c:pt idx="88">
                  <c:v>4.4943820224719105E-3</c:v>
                </c:pt>
                <c:pt idx="89">
                  <c:v>4.4444444444444444E-3</c:v>
                </c:pt>
                <c:pt idx="90">
                  <c:v>4.3956043956043956E-3</c:v>
                </c:pt>
                <c:pt idx="91">
                  <c:v>4.3478260869565218E-3</c:v>
                </c:pt>
                <c:pt idx="92">
                  <c:v>4.3010752688172043E-3</c:v>
                </c:pt>
                <c:pt idx="93">
                  <c:v>4.2553191489361703E-3</c:v>
                </c:pt>
                <c:pt idx="94">
                  <c:v>4.2105263157894736E-3</c:v>
                </c:pt>
                <c:pt idx="95">
                  <c:v>4.1666666666666666E-3</c:v>
                </c:pt>
                <c:pt idx="96">
                  <c:v>4.1237113402061857E-3</c:v>
                </c:pt>
                <c:pt idx="97">
                  <c:v>4.0816326530612249E-3</c:v>
                </c:pt>
                <c:pt idx="98">
                  <c:v>4.0404040404040404E-3</c:v>
                </c:pt>
                <c:pt idx="99">
                  <c:v>4.0000000000000001E-3</c:v>
                </c:pt>
              </c:numCache>
            </c:numRef>
          </c:xVal>
          <c:yVal>
            <c:numRef>
              <c:f>Arkusz1!$D$10:$D$109</c:f>
              <c:numCache>
                <c:formatCode>General</c:formatCode>
                <c:ptCount val="100"/>
                <c:pt idx="0">
                  <c:v>0.10526812749152814</c:v>
                </c:pt>
                <c:pt idx="1">
                  <c:v>2.6417007708377849E-2</c:v>
                </c:pt>
                <c:pt idx="2">
                  <c:v>1.1749138650556823E-2</c:v>
                </c:pt>
                <c:pt idx="3">
                  <c:v>6.6105147317592206E-3</c:v>
                </c:pt>
                <c:pt idx="4">
                  <c:v>4.2312106584234677E-3</c:v>
                </c:pt>
                <c:pt idx="5">
                  <c:v>2.9385222843982817E-3</c:v>
                </c:pt>
                <c:pt idx="6">
                  <c:v>2.158994761117583E-3</c:v>
                </c:pt>
                <c:pt idx="7">
                  <c:v>1.6530203323092962E-3</c:v>
                </c:pt>
                <c:pt idx="8">
                  <c:v>1.3061117906216779E-3</c:v>
                </c:pt>
                <c:pt idx="9">
                  <c:v>1.0579630952047836E-3</c:v>
                </c:pt>
                <c:pt idx="10">
                  <c:v>8.743573363934054E-4</c:v>
                </c:pt>
                <c:pt idx="11">
                  <c:v>7.3470794213958968E-4</c:v>
                </c:pt>
                <c:pt idx="12">
                  <c:v>6.2602658625765528E-4</c:v>
                </c:pt>
                <c:pt idx="13">
                  <c:v>5.3979045417795746E-4</c:v>
                </c:pt>
                <c:pt idx="14">
                  <c:v>4.7021902540222982E-4</c:v>
                </c:pt>
                <c:pt idx="15">
                  <c:v>4.1327956466474802E-4</c:v>
                </c:pt>
                <c:pt idx="16">
                  <c:v>3.6608929795534095E-4</c:v>
                </c:pt>
                <c:pt idx="17">
                  <c:v>3.2654323154357456E-4</c:v>
                </c:pt>
                <c:pt idx="18">
                  <c:v>2.9307528034783203E-4</c:v>
                </c:pt>
                <c:pt idx="19">
                  <c:v>2.6450080163531453E-4</c:v>
                </c:pt>
                <c:pt idx="20">
                  <c:v>2.3991030603331964E-4</c:v>
                </c:pt>
                <c:pt idx="21">
                  <c:v>2.1859618328035069E-4</c:v>
                </c:pt>
                <c:pt idx="22">
                  <c:v>2.000012225074066E-4</c:v>
                </c:pt>
                <c:pt idx="23">
                  <c:v>1.8368182153283286E-4</c:v>
                </c:pt>
                <c:pt idx="24">
                  <c:v>1.6928128319726454E-4</c:v>
                </c:pt>
                <c:pt idx="25">
                  <c:v>1.5651015762996323E-4</c:v>
                </c:pt>
                <c:pt idx="26">
                  <c:v>1.4513158309936713E-4</c:v>
                </c:pt>
                <c:pt idx="27">
                  <c:v>1.3495022391030176E-4</c:v>
                </c:pt>
                <c:pt idx="28">
                  <c:v>1.2580383089266789E-4</c:v>
                </c:pt>
                <c:pt idx="29">
                  <c:v>1.1755673718827353E-4</c:v>
                </c:pt>
                <c:pt idx="30">
                  <c:v>1.1009479832679858E-4</c:v>
                </c:pt>
                <c:pt idx="31">
                  <c:v>1.0332142132174482E-4</c:v>
                </c:pt>
                <c:pt idx="32">
                  <c:v>9.7154422964873532E-5</c:v>
                </c:pt>
                <c:pt idx="33">
                  <c:v>9.1523525149739271E-5</c:v>
                </c:pt>
                <c:pt idx="34">
                  <c:v>8.636834378172864E-5</c:v>
                </c:pt>
                <c:pt idx="35">
                  <c:v>8.1636763155312764E-5</c:v>
                </c:pt>
                <c:pt idx="36">
                  <c:v>7.7283613627354697E-5</c:v>
                </c:pt>
                <c:pt idx="37">
                  <c:v>7.3269589575097882E-5</c:v>
                </c:pt>
                <c:pt idx="38">
                  <c:v>6.9560359037268427E-5</c:v>
                </c:pt>
                <c:pt idx="39">
                  <c:v>6.6125827161034323E-5</c:v>
                </c:pt>
                <c:pt idx="40">
                  <c:v>6.2939523834959488E-5</c:v>
                </c:pt>
                <c:pt idx="41">
                  <c:v>5.9978092141754757E-5</c:v>
                </c:pt>
                <c:pt idx="42">
                  <c:v>5.7220859096762666E-5</c:v>
                </c:pt>
                <c:pt idx="43">
                  <c:v>5.4649473902212975E-5</c:v>
                </c:pt>
                <c:pt idx="44">
                  <c:v>5.2247601785904152E-5</c:v>
                </c:pt>
                <c:pt idx="45">
                  <c:v>5.0000663978089221E-5</c:v>
                </c:pt>
                <c:pt idx="46">
                  <c:v>4.7895615942206149E-5</c:v>
                </c:pt>
                <c:pt idx="47">
                  <c:v>4.5920757637762932E-5</c:v>
                </c:pt>
                <c:pt idx="48">
                  <c:v>4.4065570584894687E-5</c:v>
                </c:pt>
                <c:pt idx="49">
                  <c:v>4.2320577517962477E-5</c:v>
                </c:pt>
                <c:pt idx="50">
                  <c:v>4.0677221107010553E-5</c:v>
                </c:pt>
                <c:pt idx="51">
                  <c:v>3.9127758852064431E-5</c:v>
                </c:pt>
                <c:pt idx="52">
                  <c:v>3.7665171707335077E-5</c:v>
                </c:pt>
                <c:pt idx="53">
                  <c:v>3.6283084475119409E-5</c:v>
                </c:pt>
                <c:pt idx="54">
                  <c:v>3.4975696177941273E-5</c:v>
                </c:pt>
                <c:pt idx="55">
                  <c:v>3.373771913262047E-5</c:v>
                </c:pt>
                <c:pt idx="56">
                  <c:v>3.2564325366468694E-5</c:v>
                </c:pt>
                <c:pt idx="57">
                  <c:v>3.1451099502088908E-5</c:v>
                </c:pt>
                <c:pt idx="58">
                  <c:v>3.0393997152877716E-5</c:v>
                </c:pt>
                <c:pt idx="59">
                  <c:v>2.9389308101368528E-5</c:v>
                </c:pt>
                <c:pt idx="60">
                  <c:v>2.8433623758150617E-5</c:v>
                </c:pt>
                <c:pt idx="61">
                  <c:v>2.7523808166840524E-5</c:v>
                </c:pt>
                <c:pt idx="62">
                  <c:v>2.6656972277994129E-5</c:v>
                </c:pt>
                <c:pt idx="63">
                  <c:v>2.5830450964381413E-5</c:v>
                </c:pt>
                <c:pt idx="64">
                  <c:v>2.5041782523160805E-5</c:v>
                </c:pt>
                <c:pt idx="65">
                  <c:v>2.428869030213221E-5</c:v>
                </c:pt>
                <c:pt idx="66">
                  <c:v>2.3569066290640706E-5</c:v>
                </c:pt>
                <c:pt idx="67">
                  <c:v>2.2880956329185409E-5</c:v>
                </c:pt>
                <c:pt idx="68">
                  <c:v>2.2222546822714406E-5</c:v>
                </c:pt>
                <c:pt idx="69">
                  <c:v>2.1592152773308726E-5</c:v>
                </c:pt>
                <c:pt idx="70">
                  <c:v>2.0988207024341676E-5</c:v>
                </c:pt>
                <c:pt idx="71">
                  <c:v>2.0409250492736675E-5</c:v>
                </c:pt>
                <c:pt idx="72">
                  <c:v>1.9853923322266098E-5</c:v>
                </c:pt>
                <c:pt idx="73">
                  <c:v>1.9320956914370413E-5</c:v>
                </c:pt>
                <c:pt idx="74">
                  <c:v>1.8809166691724499E-5</c:v>
                </c:pt>
                <c:pt idx="75">
                  <c:v>1.8317445484861139E-5</c:v>
                </c:pt>
                <c:pt idx="76">
                  <c:v>1.7844757548513002E-5</c:v>
                </c:pt>
                <c:pt idx="77">
                  <c:v>1.7390133105976702E-5</c:v>
                </c:pt>
                <c:pt idx="78">
                  <c:v>1.695266335755008E-5</c:v>
                </c:pt>
                <c:pt idx="79">
                  <c:v>1.6531495963256759E-5</c:v>
                </c:pt>
                <c:pt idx="80">
                  <c:v>1.6125830850644007E-5</c:v>
                </c:pt>
                <c:pt idx="81">
                  <c:v>1.5734916448906233E-5</c:v>
                </c:pt>
                <c:pt idx="82">
                  <c:v>1.5358046169478001E-5</c:v>
                </c:pt>
                <c:pt idx="83">
                  <c:v>1.4994555263214693E-5</c:v>
                </c:pt>
                <c:pt idx="84">
                  <c:v>1.4643817820569893E-5</c:v>
                </c:pt>
                <c:pt idx="85">
                  <c:v>1.4305244107948312E-5</c:v>
                </c:pt>
                <c:pt idx="86">
                  <c:v>1.3978278118997878E-5</c:v>
                </c:pt>
                <c:pt idx="87">
                  <c:v>1.3662395224933732E-5</c:v>
                </c:pt>
                <c:pt idx="88">
                  <c:v>1.3357100144162359E-5</c:v>
                </c:pt>
                <c:pt idx="89">
                  <c:v>1.306192490080349E-5</c:v>
                </c:pt>
                <c:pt idx="90">
                  <c:v>1.2776427142036084E-5</c:v>
                </c:pt>
                <c:pt idx="91">
                  <c:v>1.2500188390163203E-5</c:v>
                </c:pt>
                <c:pt idx="92">
                  <c:v>1.2232812567347651E-5</c:v>
                </c:pt>
                <c:pt idx="93">
                  <c:v>1.197392454432844E-5</c:v>
                </c:pt>
                <c:pt idx="94">
                  <c:v>1.1723168807264983E-5</c:v>
                </c:pt>
                <c:pt idx="95">
                  <c:v>1.1480208299996519E-5</c:v>
                </c:pt>
                <c:pt idx="96">
                  <c:v>1.1244723236991661E-5</c:v>
                </c:pt>
                <c:pt idx="97">
                  <c:v>1.1016410045083802E-5</c:v>
                </c:pt>
                <c:pt idx="98">
                  <c:v>1.0794980418893374E-5</c:v>
                </c:pt>
                <c:pt idx="99">
                  <c:v>1.0580160427320351E-5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1B-4D41-A437-A33957565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810128"/>
        <c:axId val="1673437648"/>
      </c:scatterChart>
      <c:valAx>
        <c:axId val="167281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3437648"/>
        <c:crosses val="autoZero"/>
        <c:crossBetween val="midCat"/>
      </c:valAx>
      <c:valAx>
        <c:axId val="167343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281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8</xdr:row>
      <xdr:rowOff>190500</xdr:rowOff>
    </xdr:from>
    <xdr:to>
      <xdr:col>11</xdr:col>
      <xdr:colOff>692150</xdr:colOff>
      <xdr:row>22</xdr:row>
      <xdr:rowOff>88900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6743EFC7-902D-74FE-0A41-189C75C81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190500</xdr:rowOff>
        </xdr:from>
        <xdr:to>
          <xdr:col>5</xdr:col>
          <xdr:colOff>673100</xdr:colOff>
          <xdr:row>10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CCBE9EA-FEF1-99CA-4882-47E8078B2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wykres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14A896-41FB-9946-87DF-83B7ACF8977D}" name="Tabela1" displayName="Tabela1" ref="A9:D109" totalsRowShown="0">
  <autoFilter ref="A9:D109" xr:uid="{E614A896-41FB-9946-87DF-83B7ACF8977D}"/>
  <tableColumns count="4">
    <tableColumn id="1" xr3:uid="{BFB7DF8D-2BD1-3C4F-955E-095868D6F9FD}" name="N"/>
    <tableColumn id="2" xr3:uid="{E9F7247B-BBB6-8D4E-B87D-A82AA0722B02}" name="wartość">
      <calculatedColumnFormula array="1">funkcja_b(A10)</calculatedColumnFormula>
    </tableColumn>
    <tableColumn id="3" xr3:uid="{54A95539-4456-0F43-BF88-C99C49308267}" name="h">
      <calculatedColumnFormula>4/A10</calculatedColumnFormula>
    </tableColumn>
    <tableColumn id="4" xr3:uid="{1FD20250-80DE-5147-BFEB-194A03C6E686}" name="błąd">
      <calculatedColumnFormula>ABS($F$8 - B10)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9121-E888-864B-9A50-3062CCC65213}">
  <sheetPr codeName="Arkusz1"/>
  <dimension ref="A3:L109"/>
  <sheetViews>
    <sheetView tabSelected="1" workbookViewId="0">
      <selection activeCell="F16" sqref="F16"/>
    </sheetView>
  </sheetViews>
  <sheetFormatPr baseColWidth="10" defaultRowHeight="16" x14ac:dyDescent="0.2"/>
  <cols>
    <col min="5" max="5" width="12.83203125" bestFit="1" customWidth="1"/>
  </cols>
  <sheetData>
    <row r="3" spans="1:6" x14ac:dyDescent="0.2">
      <c r="A3" s="1" t="s">
        <v>4</v>
      </c>
      <c r="B3" s="1"/>
      <c r="C3" s="1"/>
      <c r="D3" s="1"/>
      <c r="E3" s="1"/>
    </row>
    <row r="5" spans="1:6" x14ac:dyDescent="0.2">
      <c r="C5" t="s">
        <v>1</v>
      </c>
      <c r="D5" t="s">
        <v>2</v>
      </c>
      <c r="E5" t="s">
        <v>3</v>
      </c>
    </row>
    <row r="6" spans="1:6" x14ac:dyDescent="0.2">
      <c r="A6" t="s">
        <v>0</v>
      </c>
      <c r="B6">
        <v>100</v>
      </c>
      <c r="C6" cm="1">
        <f t="array" ref="C6">funkcja_a(B6)</f>
        <v>-0.25002873783186019</v>
      </c>
      <c r="D6" cm="1">
        <f t="array" ref="D6" xml:space="preserve"> funkcja_b(B6)</f>
        <v>2.3292142431442588</v>
      </c>
      <c r="E6" cm="1">
        <f t="array" ref="E6">funkcja_c(B6)</f>
        <v>-5.2041704279304213E-18</v>
      </c>
    </row>
    <row r="8" spans="1:6" x14ac:dyDescent="0.2">
      <c r="A8" t="s">
        <v>5</v>
      </c>
      <c r="E8" t="s">
        <v>9</v>
      </c>
      <c r="F8">
        <f xml:space="preserve"> -38*EXP(-1) + 6*EXP(1)</f>
        <v>2.3302722062394636</v>
      </c>
    </row>
    <row r="9" spans="1:6" x14ac:dyDescent="0.2">
      <c r="A9" t="s">
        <v>0</v>
      </c>
      <c r="B9" t="s">
        <v>7</v>
      </c>
      <c r="C9" t="s">
        <v>6</v>
      </c>
      <c r="D9" t="s">
        <v>8</v>
      </c>
    </row>
    <row r="10" spans="1:6" x14ac:dyDescent="0.2">
      <c r="A10">
        <v>10</v>
      </c>
      <c r="B10" cm="1">
        <f t="array" ref="B10">funkcja_b(A10)</f>
        <v>2.2250040787479355</v>
      </c>
      <c r="C10">
        <f>4/A10</f>
        <v>0.4</v>
      </c>
      <c r="D10">
        <f t="shared" ref="D10:D41" si="0">ABS($F$8 - B10)</f>
        <v>0.10526812749152814</v>
      </c>
    </row>
    <row r="11" spans="1:6" x14ac:dyDescent="0.2">
      <c r="A11">
        <v>20</v>
      </c>
      <c r="B11" cm="1">
        <f t="array" ref="B11">funkcja_b(A11)</f>
        <v>2.3038551985310858</v>
      </c>
      <c r="C11">
        <f t="shared" ref="C11:C74" si="1">4/A11</f>
        <v>0.2</v>
      </c>
      <c r="D11">
        <f t="shared" si="0"/>
        <v>2.6417007708377849E-2</v>
      </c>
    </row>
    <row r="12" spans="1:6" x14ac:dyDescent="0.2">
      <c r="A12">
        <v>30</v>
      </c>
      <c r="B12" cm="1">
        <f t="array" ref="B12">funkcja_b(A12)</f>
        <v>2.3185230675889068</v>
      </c>
      <c r="C12">
        <f t="shared" si="1"/>
        <v>0.13333333333333333</v>
      </c>
      <c r="D12">
        <f t="shared" si="0"/>
        <v>1.1749138650556823E-2</v>
      </c>
    </row>
    <row r="13" spans="1:6" x14ac:dyDescent="0.2">
      <c r="A13">
        <v>40</v>
      </c>
      <c r="B13" cm="1">
        <f t="array" ref="B13">funkcja_b(A13)</f>
        <v>2.3236616915077044</v>
      </c>
      <c r="C13">
        <f t="shared" si="1"/>
        <v>0.1</v>
      </c>
      <c r="D13">
        <f t="shared" si="0"/>
        <v>6.6105147317592206E-3</v>
      </c>
    </row>
    <row r="14" spans="1:6" x14ac:dyDescent="0.2">
      <c r="A14">
        <v>50</v>
      </c>
      <c r="B14" cm="1">
        <f t="array" ref="B14">funkcja_b(A14)</f>
        <v>2.3260409955810402</v>
      </c>
      <c r="C14">
        <f t="shared" si="1"/>
        <v>0.08</v>
      </c>
      <c r="D14">
        <f t="shared" si="0"/>
        <v>4.2312106584234677E-3</v>
      </c>
    </row>
    <row r="15" spans="1:6" x14ac:dyDescent="0.2">
      <c r="A15">
        <v>60</v>
      </c>
      <c r="B15" cm="1">
        <f t="array" ref="B15">funkcja_b(A15)</f>
        <v>2.3273336839550653</v>
      </c>
      <c r="C15">
        <f t="shared" si="1"/>
        <v>6.6666666666666666E-2</v>
      </c>
      <c r="D15">
        <f t="shared" si="0"/>
        <v>2.9385222843982817E-3</v>
      </c>
    </row>
    <row r="16" spans="1:6" x14ac:dyDescent="0.2">
      <c r="A16">
        <v>70</v>
      </c>
      <c r="B16" cm="1">
        <f t="array" ref="B16">funkcja_b(A16)</f>
        <v>2.328113211478346</v>
      </c>
      <c r="C16">
        <f t="shared" si="1"/>
        <v>5.7142857142857141E-2</v>
      </c>
      <c r="D16">
        <f t="shared" si="0"/>
        <v>2.158994761117583E-3</v>
      </c>
    </row>
    <row r="17" spans="1:12" x14ac:dyDescent="0.2">
      <c r="A17">
        <v>80</v>
      </c>
      <c r="B17" cm="1">
        <f t="array" ref="B17">funkcja_b(A17)</f>
        <v>2.3286191859071543</v>
      </c>
      <c r="C17">
        <f t="shared" si="1"/>
        <v>0.05</v>
      </c>
      <c r="D17">
        <f t="shared" si="0"/>
        <v>1.6530203323092962E-3</v>
      </c>
    </row>
    <row r="18" spans="1:12" x14ac:dyDescent="0.2">
      <c r="A18">
        <v>90</v>
      </c>
      <c r="B18" cm="1">
        <f t="array" ref="B18">funkcja_b(A18)</f>
        <v>2.328966094448842</v>
      </c>
      <c r="C18">
        <f t="shared" si="1"/>
        <v>4.4444444444444446E-2</v>
      </c>
      <c r="D18">
        <f t="shared" si="0"/>
        <v>1.3061117906216779E-3</v>
      </c>
    </row>
    <row r="19" spans="1:12" x14ac:dyDescent="0.2">
      <c r="A19">
        <v>100</v>
      </c>
      <c r="B19" cm="1">
        <f t="array" ref="B19">funkcja_b(A19)</f>
        <v>2.3292142431442588</v>
      </c>
      <c r="C19">
        <f t="shared" si="1"/>
        <v>0.04</v>
      </c>
      <c r="D19">
        <f t="shared" si="0"/>
        <v>1.0579630952047836E-3</v>
      </c>
    </row>
    <row r="20" spans="1:12" x14ac:dyDescent="0.2">
      <c r="A20">
        <v>110</v>
      </c>
      <c r="B20" cm="1">
        <f t="array" ref="B20">funkcja_b(A20)</f>
        <v>2.3293978489030702</v>
      </c>
      <c r="C20">
        <f t="shared" si="1"/>
        <v>3.6363636363636362E-2</v>
      </c>
      <c r="D20">
        <f t="shared" si="0"/>
        <v>8.743573363934054E-4</v>
      </c>
    </row>
    <row r="21" spans="1:12" x14ac:dyDescent="0.2">
      <c r="A21">
        <v>120</v>
      </c>
      <c r="B21" cm="1">
        <f t="array" ref="B21">funkcja_b(A21)</f>
        <v>2.329537498297324</v>
      </c>
      <c r="C21">
        <f t="shared" si="1"/>
        <v>3.3333333333333333E-2</v>
      </c>
      <c r="D21">
        <f t="shared" si="0"/>
        <v>7.3470794213958968E-4</v>
      </c>
    </row>
    <row r="22" spans="1:12" x14ac:dyDescent="0.2">
      <c r="A22">
        <v>130</v>
      </c>
      <c r="B22" cm="1">
        <f t="array" ref="B22">funkcja_b(A22)</f>
        <v>2.329646179653206</v>
      </c>
      <c r="C22">
        <f t="shared" si="1"/>
        <v>3.0769230769230771E-2</v>
      </c>
      <c r="D22">
        <f t="shared" si="0"/>
        <v>6.2602658625765528E-4</v>
      </c>
    </row>
    <row r="23" spans="1:12" x14ac:dyDescent="0.2">
      <c r="A23">
        <v>140</v>
      </c>
      <c r="B23" cm="1">
        <f t="array" ref="B23">funkcja_b(A23)</f>
        <v>2.3297324157852857</v>
      </c>
      <c r="C23">
        <f t="shared" si="1"/>
        <v>2.8571428571428571E-2</v>
      </c>
      <c r="D23">
        <f t="shared" si="0"/>
        <v>5.3979045417795746E-4</v>
      </c>
    </row>
    <row r="24" spans="1:12" x14ac:dyDescent="0.2">
      <c r="A24">
        <v>150</v>
      </c>
      <c r="B24" cm="1">
        <f t="array" ref="B24">funkcja_b(A24)</f>
        <v>2.3298019872140614</v>
      </c>
      <c r="C24">
        <f t="shared" si="1"/>
        <v>2.6666666666666668E-2</v>
      </c>
      <c r="D24">
        <f t="shared" si="0"/>
        <v>4.7021902540222982E-4</v>
      </c>
    </row>
    <row r="25" spans="1:12" x14ac:dyDescent="0.2">
      <c r="A25">
        <v>160</v>
      </c>
      <c r="B25" cm="1">
        <f t="array" ref="B25">funkcja_b(A25)</f>
        <v>2.3298589266747989</v>
      </c>
      <c r="C25">
        <f t="shared" si="1"/>
        <v>2.5000000000000001E-2</v>
      </c>
      <c r="D25">
        <f t="shared" si="0"/>
        <v>4.1327956466474802E-4</v>
      </c>
      <c r="H25" s="1" t="s">
        <v>10</v>
      </c>
      <c r="I25" s="1"/>
      <c r="J25" s="1"/>
      <c r="K25" s="1"/>
      <c r="L25" s="1"/>
    </row>
    <row r="26" spans="1:12" x14ac:dyDescent="0.2">
      <c r="A26">
        <v>170</v>
      </c>
      <c r="B26" cm="1">
        <f t="array" ref="B26">funkcja_b(A26)</f>
        <v>2.3299061169415083</v>
      </c>
      <c r="C26">
        <f t="shared" si="1"/>
        <v>2.3529411764705882E-2</v>
      </c>
      <c r="D26">
        <f t="shared" si="0"/>
        <v>3.6608929795534095E-4</v>
      </c>
      <c r="H26" s="1" t="s">
        <v>11</v>
      </c>
      <c r="I26" s="1"/>
      <c r="J26" s="1"/>
      <c r="K26" s="1"/>
      <c r="L26" s="1"/>
    </row>
    <row r="27" spans="1:12" x14ac:dyDescent="0.2">
      <c r="A27">
        <v>180</v>
      </c>
      <c r="B27" cm="1">
        <f t="array" ref="B27">funkcja_b(A27)</f>
        <v>2.3299456630079201</v>
      </c>
      <c r="C27">
        <f t="shared" si="1"/>
        <v>2.2222222222222223E-2</v>
      </c>
      <c r="D27">
        <f t="shared" si="0"/>
        <v>3.2654323154357456E-4</v>
      </c>
      <c r="H27" s="1"/>
      <c r="I27" s="1"/>
      <c r="J27" s="1"/>
      <c r="K27" s="1"/>
      <c r="L27" s="1"/>
    </row>
    <row r="28" spans="1:12" x14ac:dyDescent="0.2">
      <c r="A28">
        <v>190</v>
      </c>
      <c r="B28" cm="1">
        <f t="array" ref="B28">funkcja_b(A28)</f>
        <v>2.3299791309591158</v>
      </c>
      <c r="C28">
        <f t="shared" si="1"/>
        <v>2.1052631578947368E-2</v>
      </c>
      <c r="D28">
        <f t="shared" si="0"/>
        <v>2.9307528034783203E-4</v>
      </c>
    </row>
    <row r="29" spans="1:12" x14ac:dyDescent="0.2">
      <c r="A29">
        <v>200</v>
      </c>
      <c r="B29" cm="1">
        <f t="array" ref="B29">funkcja_b(A29)</f>
        <v>2.3300077054378283</v>
      </c>
      <c r="C29">
        <f t="shared" si="1"/>
        <v>0.02</v>
      </c>
      <c r="D29">
        <f t="shared" si="0"/>
        <v>2.6450080163531453E-4</v>
      </c>
    </row>
    <row r="30" spans="1:12" x14ac:dyDescent="0.2">
      <c r="A30">
        <v>210</v>
      </c>
      <c r="B30" cm="1">
        <f t="array" ref="B30">funkcja_b(A30)</f>
        <v>2.3300322959334303</v>
      </c>
      <c r="C30">
        <f t="shared" si="1"/>
        <v>1.9047619047619049E-2</v>
      </c>
      <c r="D30">
        <f t="shared" si="0"/>
        <v>2.3991030603331964E-4</v>
      </c>
    </row>
    <row r="31" spans="1:12" x14ac:dyDescent="0.2">
      <c r="A31">
        <v>220</v>
      </c>
      <c r="B31" cm="1">
        <f t="array" ref="B31">funkcja_b(A31)</f>
        <v>2.3300536100561833</v>
      </c>
      <c r="C31">
        <f t="shared" si="1"/>
        <v>1.8181818181818181E-2</v>
      </c>
      <c r="D31">
        <f t="shared" si="0"/>
        <v>2.1859618328035069E-4</v>
      </c>
    </row>
    <row r="32" spans="1:12" x14ac:dyDescent="0.2">
      <c r="A32">
        <v>230</v>
      </c>
      <c r="B32" cm="1">
        <f t="array" ref="B32">funkcja_b(A32)</f>
        <v>2.3300722050169562</v>
      </c>
      <c r="C32">
        <f t="shared" si="1"/>
        <v>1.7391304347826087E-2</v>
      </c>
      <c r="D32">
        <f t="shared" si="0"/>
        <v>2.000012225074066E-4</v>
      </c>
    </row>
    <row r="33" spans="1:4" x14ac:dyDescent="0.2">
      <c r="A33">
        <v>240</v>
      </c>
      <c r="B33" cm="1">
        <f t="array" ref="B33">funkcja_b(A33)</f>
        <v>2.3300885244179308</v>
      </c>
      <c r="C33">
        <f t="shared" si="1"/>
        <v>1.6666666666666666E-2</v>
      </c>
      <c r="D33">
        <f t="shared" si="0"/>
        <v>1.8368182153283286E-4</v>
      </c>
    </row>
    <row r="34" spans="1:4" x14ac:dyDescent="0.2">
      <c r="A34">
        <v>250</v>
      </c>
      <c r="B34" cm="1">
        <f t="array" ref="B34">funkcja_b(A34)</f>
        <v>2.3301029249562664</v>
      </c>
      <c r="C34">
        <f t="shared" si="1"/>
        <v>1.6E-2</v>
      </c>
      <c r="D34">
        <f t="shared" si="0"/>
        <v>1.6928128319726454E-4</v>
      </c>
    </row>
    <row r="35" spans="1:4" x14ac:dyDescent="0.2">
      <c r="A35">
        <v>260</v>
      </c>
      <c r="B35" cm="1">
        <f t="array" ref="B35">funkcja_b(A35)</f>
        <v>2.3301156960818337</v>
      </c>
      <c r="C35">
        <f t="shared" si="1"/>
        <v>1.5384615384615385E-2</v>
      </c>
      <c r="D35">
        <f t="shared" si="0"/>
        <v>1.5651015762996323E-4</v>
      </c>
    </row>
    <row r="36" spans="1:4" x14ac:dyDescent="0.2">
      <c r="A36">
        <v>270</v>
      </c>
      <c r="B36" cm="1">
        <f t="array" ref="B36">funkcja_b(A36)</f>
        <v>2.3301270746563643</v>
      </c>
      <c r="C36">
        <f t="shared" si="1"/>
        <v>1.4814814814814815E-2</v>
      </c>
      <c r="D36">
        <f t="shared" si="0"/>
        <v>1.4513158309936713E-4</v>
      </c>
    </row>
    <row r="37" spans="1:4" x14ac:dyDescent="0.2">
      <c r="A37">
        <v>280</v>
      </c>
      <c r="B37" cm="1">
        <f t="array" ref="B37">funkcja_b(A37)</f>
        <v>2.3301372560155533</v>
      </c>
      <c r="C37">
        <f t="shared" si="1"/>
        <v>1.4285714285714285E-2</v>
      </c>
      <c r="D37">
        <f t="shared" si="0"/>
        <v>1.3495022391030176E-4</v>
      </c>
    </row>
    <row r="38" spans="1:4" x14ac:dyDescent="0.2">
      <c r="A38">
        <v>290</v>
      </c>
      <c r="B38" cm="1">
        <f t="array" ref="B38">funkcja_b(A38)</f>
        <v>2.330146402408571</v>
      </c>
      <c r="C38">
        <f t="shared" si="1"/>
        <v>1.3793103448275862E-2</v>
      </c>
      <c r="D38">
        <f t="shared" si="0"/>
        <v>1.2580383089266789E-4</v>
      </c>
    </row>
    <row r="39" spans="1:4" x14ac:dyDescent="0.2">
      <c r="A39">
        <v>300</v>
      </c>
      <c r="B39" cm="1">
        <f t="array" ref="B39">funkcja_b(A39)</f>
        <v>2.3301546495022754</v>
      </c>
      <c r="C39">
        <f t="shared" si="1"/>
        <v>1.3333333333333334E-2</v>
      </c>
      <c r="D39">
        <f t="shared" si="0"/>
        <v>1.1755673718827353E-4</v>
      </c>
    </row>
    <row r="40" spans="1:4" x14ac:dyDescent="0.2">
      <c r="A40">
        <v>310</v>
      </c>
      <c r="B40" cm="1">
        <f t="array" ref="B40">funkcja_b(A40)</f>
        <v>2.3301621114411368</v>
      </c>
      <c r="C40">
        <f t="shared" si="1"/>
        <v>1.2903225806451613E-2</v>
      </c>
      <c r="D40">
        <f t="shared" si="0"/>
        <v>1.1009479832679858E-4</v>
      </c>
    </row>
    <row r="41" spans="1:4" x14ac:dyDescent="0.2">
      <c r="A41">
        <v>320</v>
      </c>
      <c r="B41" cm="1">
        <f t="array" ref="B41">funkcja_b(A41)</f>
        <v>2.3301688848181419</v>
      </c>
      <c r="C41">
        <f t="shared" si="1"/>
        <v>1.2500000000000001E-2</v>
      </c>
      <c r="D41">
        <f t="shared" si="0"/>
        <v>1.0332142132174482E-4</v>
      </c>
    </row>
    <row r="42" spans="1:4" x14ac:dyDescent="0.2">
      <c r="A42">
        <v>330</v>
      </c>
      <c r="B42" cm="1">
        <f t="array" ref="B42">funkcja_b(A42)</f>
        <v>2.3301750518164988</v>
      </c>
      <c r="C42">
        <f t="shared" si="1"/>
        <v>1.2121212121212121E-2</v>
      </c>
      <c r="D42">
        <f t="shared" ref="D42:D73" si="2">ABS($F$8 - B42)</f>
        <v>9.7154422964873532E-5</v>
      </c>
    </row>
    <row r="43" spans="1:4" x14ac:dyDescent="0.2">
      <c r="A43">
        <v>340</v>
      </c>
      <c r="B43" cm="1">
        <f t="array" ref="B43">funkcja_b(A43)</f>
        <v>2.3301806827143139</v>
      </c>
      <c r="C43">
        <f t="shared" si="1"/>
        <v>1.1764705882352941E-2</v>
      </c>
      <c r="D43">
        <f t="shared" si="2"/>
        <v>9.1523525149739271E-5</v>
      </c>
    </row>
    <row r="44" spans="1:4" x14ac:dyDescent="0.2">
      <c r="A44">
        <v>350</v>
      </c>
      <c r="B44" cm="1">
        <f t="array" ref="B44">funkcja_b(A44)</f>
        <v>2.3301858378956819</v>
      </c>
      <c r="C44">
        <f t="shared" si="1"/>
        <v>1.1428571428571429E-2</v>
      </c>
      <c r="D44">
        <f t="shared" si="2"/>
        <v>8.636834378172864E-5</v>
      </c>
    </row>
    <row r="45" spans="1:4" x14ac:dyDescent="0.2">
      <c r="A45">
        <v>360</v>
      </c>
      <c r="B45" cm="1">
        <f t="array" ref="B45">funkcja_b(A45)</f>
        <v>2.3301905694763083</v>
      </c>
      <c r="C45">
        <f t="shared" si="1"/>
        <v>1.1111111111111112E-2</v>
      </c>
      <c r="D45">
        <f t="shared" si="2"/>
        <v>8.1636763155312764E-5</v>
      </c>
    </row>
    <row r="46" spans="1:4" x14ac:dyDescent="0.2">
      <c r="A46">
        <v>370</v>
      </c>
      <c r="B46" cm="1">
        <f t="array" ref="B46">funkcja_b(A46)</f>
        <v>2.3301949226258363</v>
      </c>
      <c r="C46">
        <f t="shared" si="1"/>
        <v>1.0810810810810811E-2</v>
      </c>
      <c r="D46">
        <f t="shared" si="2"/>
        <v>7.7283613627354697E-5</v>
      </c>
    </row>
    <row r="47" spans="1:4" x14ac:dyDescent="0.2">
      <c r="A47">
        <v>380</v>
      </c>
      <c r="B47" cm="1">
        <f t="array" ref="B47">funkcja_b(A47)</f>
        <v>2.3301989366498885</v>
      </c>
      <c r="C47">
        <f t="shared" si="1"/>
        <v>1.0526315789473684E-2</v>
      </c>
      <c r="D47">
        <f t="shared" si="2"/>
        <v>7.3269589575097882E-5</v>
      </c>
    </row>
    <row r="48" spans="1:4" x14ac:dyDescent="0.2">
      <c r="A48">
        <v>390</v>
      </c>
      <c r="B48" cm="1">
        <f t="array" ref="B48">funkcja_b(A48)</f>
        <v>2.3302026458804264</v>
      </c>
      <c r="C48">
        <f t="shared" si="1"/>
        <v>1.0256410256410256E-2</v>
      </c>
      <c r="D48">
        <f t="shared" si="2"/>
        <v>6.9560359037268427E-5</v>
      </c>
    </row>
    <row r="49" spans="1:4" x14ac:dyDescent="0.2">
      <c r="A49">
        <v>400</v>
      </c>
      <c r="B49" cm="1">
        <f t="array" ref="B49">funkcja_b(A49)</f>
        <v>2.3302060804123026</v>
      </c>
      <c r="C49">
        <f t="shared" si="1"/>
        <v>0.01</v>
      </c>
      <c r="D49">
        <f t="shared" si="2"/>
        <v>6.6125827161034323E-5</v>
      </c>
    </row>
    <row r="50" spans="1:4" x14ac:dyDescent="0.2">
      <c r="A50">
        <v>410</v>
      </c>
      <c r="B50" cm="1">
        <f t="array" ref="B50">funkcja_b(A50)</f>
        <v>2.3302092667156287</v>
      </c>
      <c r="C50">
        <f t="shared" si="1"/>
        <v>9.7560975609756097E-3</v>
      </c>
      <c r="D50">
        <f t="shared" si="2"/>
        <v>6.2939523834959488E-5</v>
      </c>
    </row>
    <row r="51" spans="1:4" x14ac:dyDescent="0.2">
      <c r="A51">
        <v>420</v>
      </c>
      <c r="B51" cm="1">
        <f t="array" ref="B51">funkcja_b(A51)</f>
        <v>2.3302122281473219</v>
      </c>
      <c r="C51">
        <f t="shared" si="1"/>
        <v>9.5238095238095247E-3</v>
      </c>
      <c r="D51">
        <f t="shared" si="2"/>
        <v>5.9978092141754757E-5</v>
      </c>
    </row>
    <row r="52" spans="1:4" x14ac:dyDescent="0.2">
      <c r="A52">
        <v>430</v>
      </c>
      <c r="B52" cm="1">
        <f t="array" ref="B52">funkcja_b(A52)</f>
        <v>2.3302149853803669</v>
      </c>
      <c r="C52">
        <f t="shared" si="1"/>
        <v>9.3023255813953487E-3</v>
      </c>
      <c r="D52">
        <f t="shared" si="2"/>
        <v>5.7220859096762666E-5</v>
      </c>
    </row>
    <row r="53" spans="1:4" x14ac:dyDescent="0.2">
      <c r="A53">
        <v>440</v>
      </c>
      <c r="B53" cm="1">
        <f t="array" ref="B53">funkcja_b(A53)</f>
        <v>2.3302175567655614</v>
      </c>
      <c r="C53">
        <f t="shared" si="1"/>
        <v>9.0909090909090905E-3</v>
      </c>
      <c r="D53">
        <f t="shared" si="2"/>
        <v>5.4649473902212975E-5</v>
      </c>
    </row>
    <row r="54" spans="1:4" x14ac:dyDescent="0.2">
      <c r="A54">
        <v>450</v>
      </c>
      <c r="B54" cm="1">
        <f t="array" ref="B54">funkcja_b(A54)</f>
        <v>2.3302199586376777</v>
      </c>
      <c r="C54">
        <f t="shared" si="1"/>
        <v>8.8888888888888889E-3</v>
      </c>
      <c r="D54">
        <f t="shared" si="2"/>
        <v>5.2247601785904152E-5</v>
      </c>
    </row>
    <row r="55" spans="1:4" x14ac:dyDescent="0.2">
      <c r="A55">
        <v>460</v>
      </c>
      <c r="B55" cm="1">
        <f t="array" ref="B55">funkcja_b(A55)</f>
        <v>2.3302222055754855</v>
      </c>
      <c r="C55">
        <f t="shared" si="1"/>
        <v>8.6956521739130436E-3</v>
      </c>
      <c r="D55">
        <f t="shared" si="2"/>
        <v>5.0000663978089221E-5</v>
      </c>
    </row>
    <row r="56" spans="1:4" x14ac:dyDescent="0.2">
      <c r="A56">
        <v>470</v>
      </c>
      <c r="B56" cm="1">
        <f t="array" ref="B56">funkcja_b(A56)</f>
        <v>2.3302243106235214</v>
      </c>
      <c r="C56">
        <f t="shared" si="1"/>
        <v>8.5106382978723406E-3</v>
      </c>
      <c r="D56">
        <f t="shared" si="2"/>
        <v>4.7895615942206149E-5</v>
      </c>
    </row>
    <row r="57" spans="1:4" x14ac:dyDescent="0.2">
      <c r="A57">
        <v>480</v>
      </c>
      <c r="B57" cm="1">
        <f t="array" ref="B57">funkcja_b(A57)</f>
        <v>2.3302262854818259</v>
      </c>
      <c r="C57">
        <f t="shared" si="1"/>
        <v>8.3333333333333332E-3</v>
      </c>
      <c r="D57">
        <f t="shared" si="2"/>
        <v>4.5920757637762932E-5</v>
      </c>
    </row>
    <row r="58" spans="1:4" x14ac:dyDescent="0.2">
      <c r="A58">
        <v>490</v>
      </c>
      <c r="B58" cm="1">
        <f t="array" ref="B58">funkcja_b(A58)</f>
        <v>2.3302281406688787</v>
      </c>
      <c r="C58">
        <f t="shared" si="1"/>
        <v>8.1632653061224497E-3</v>
      </c>
      <c r="D58">
        <f t="shared" si="2"/>
        <v>4.4065570584894687E-5</v>
      </c>
    </row>
    <row r="59" spans="1:4" x14ac:dyDescent="0.2">
      <c r="A59">
        <v>500</v>
      </c>
      <c r="B59" cm="1">
        <f t="array" ref="B59">funkcja_b(A59)</f>
        <v>2.3302298856619457</v>
      </c>
      <c r="C59">
        <f t="shared" si="1"/>
        <v>8.0000000000000002E-3</v>
      </c>
      <c r="D59">
        <f t="shared" si="2"/>
        <v>4.2320577517962477E-5</v>
      </c>
    </row>
    <row r="60" spans="1:4" x14ac:dyDescent="0.2">
      <c r="A60">
        <v>510</v>
      </c>
      <c r="B60" cm="1">
        <f t="array" ref="B60">funkcja_b(A60)</f>
        <v>2.3302315290183566</v>
      </c>
      <c r="C60">
        <f t="shared" si="1"/>
        <v>7.8431372549019607E-3</v>
      </c>
      <c r="D60">
        <f t="shared" si="2"/>
        <v>4.0677221107010553E-5</v>
      </c>
    </row>
    <row r="61" spans="1:4" x14ac:dyDescent="0.2">
      <c r="A61">
        <v>520</v>
      </c>
      <c r="B61" cm="1">
        <f t="array" ref="B61">funkcja_b(A61)</f>
        <v>2.3302330784806116</v>
      </c>
      <c r="C61">
        <f t="shared" si="1"/>
        <v>7.6923076923076927E-3</v>
      </c>
      <c r="D61">
        <f t="shared" si="2"/>
        <v>3.9127758852064431E-5</v>
      </c>
    </row>
    <row r="62" spans="1:4" x14ac:dyDescent="0.2">
      <c r="A62">
        <v>530</v>
      </c>
      <c r="B62" cm="1">
        <f t="array" ref="B62">funkcja_b(A62)</f>
        <v>2.3302345410677563</v>
      </c>
      <c r="C62">
        <f t="shared" si="1"/>
        <v>7.5471698113207548E-3</v>
      </c>
      <c r="D62">
        <f t="shared" si="2"/>
        <v>3.7665171707335077E-5</v>
      </c>
    </row>
    <row r="63" spans="1:4" x14ac:dyDescent="0.2">
      <c r="A63">
        <v>540</v>
      </c>
      <c r="B63" cm="1">
        <f t="array" ref="B63">funkcja_b(A63)</f>
        <v>2.3302359231549885</v>
      </c>
      <c r="C63">
        <f t="shared" si="1"/>
        <v>7.4074074074074077E-3</v>
      </c>
      <c r="D63">
        <f t="shared" si="2"/>
        <v>3.6283084475119409E-5</v>
      </c>
    </row>
    <row r="64" spans="1:4" x14ac:dyDescent="0.2">
      <c r="A64">
        <v>550</v>
      </c>
      <c r="B64" cm="1">
        <f t="array" ref="B64">funkcja_b(A64)</f>
        <v>2.3302372305432857</v>
      </c>
      <c r="C64">
        <f t="shared" si="1"/>
        <v>7.2727272727272727E-3</v>
      </c>
      <c r="D64">
        <f t="shared" si="2"/>
        <v>3.4975696177941273E-5</v>
      </c>
    </row>
    <row r="65" spans="1:4" x14ac:dyDescent="0.2">
      <c r="A65">
        <v>560</v>
      </c>
      <c r="B65" cm="1">
        <f t="array" ref="B65">funkcja_b(A65)</f>
        <v>2.330238468520331</v>
      </c>
      <c r="C65">
        <f t="shared" si="1"/>
        <v>7.1428571428571426E-3</v>
      </c>
      <c r="D65">
        <f t="shared" si="2"/>
        <v>3.373771913262047E-5</v>
      </c>
    </row>
    <row r="66" spans="1:4" x14ac:dyDescent="0.2">
      <c r="A66">
        <v>570</v>
      </c>
      <c r="B66" cm="1">
        <f t="array" ref="B66">funkcja_b(A66)</f>
        <v>2.3302396419140972</v>
      </c>
      <c r="C66">
        <f t="shared" si="1"/>
        <v>7.0175438596491229E-3</v>
      </c>
      <c r="D66">
        <f t="shared" si="2"/>
        <v>3.2564325366468694E-5</v>
      </c>
    </row>
    <row r="67" spans="1:4" x14ac:dyDescent="0.2">
      <c r="A67">
        <v>580</v>
      </c>
      <c r="B67" cm="1">
        <f t="array" ref="B67">funkcja_b(A67)</f>
        <v>2.3302407551399615</v>
      </c>
      <c r="C67">
        <f t="shared" si="1"/>
        <v>6.8965517241379309E-3</v>
      </c>
      <c r="D67">
        <f t="shared" si="2"/>
        <v>3.1451099502088908E-5</v>
      </c>
    </row>
    <row r="68" spans="1:4" x14ac:dyDescent="0.2">
      <c r="A68">
        <v>590</v>
      </c>
      <c r="B68" cm="1">
        <f t="array" ref="B68">funkcja_b(A68)</f>
        <v>2.3302418122423108</v>
      </c>
      <c r="C68">
        <f t="shared" si="1"/>
        <v>6.7796610169491523E-3</v>
      </c>
      <c r="D68">
        <f t="shared" si="2"/>
        <v>3.0393997152877716E-5</v>
      </c>
    </row>
    <row r="69" spans="1:4" x14ac:dyDescent="0.2">
      <c r="A69">
        <v>600</v>
      </c>
      <c r="B69" cm="1">
        <f t="array" ref="B69">funkcja_b(A69)</f>
        <v>2.3302428169313623</v>
      </c>
      <c r="C69">
        <f t="shared" si="1"/>
        <v>6.6666666666666671E-3</v>
      </c>
      <c r="D69">
        <f t="shared" si="2"/>
        <v>2.9389308101368528E-5</v>
      </c>
    </row>
    <row r="70" spans="1:4" x14ac:dyDescent="0.2">
      <c r="A70">
        <v>610</v>
      </c>
      <c r="B70" cm="1">
        <f t="array" ref="B70">funkcja_b(A70)</f>
        <v>2.3302437726157055</v>
      </c>
      <c r="C70">
        <f t="shared" si="1"/>
        <v>6.5573770491803279E-3</v>
      </c>
      <c r="D70">
        <f t="shared" si="2"/>
        <v>2.8433623758150617E-5</v>
      </c>
    </row>
    <row r="71" spans="1:4" x14ac:dyDescent="0.2">
      <c r="A71">
        <v>620</v>
      </c>
      <c r="B71" cm="1">
        <f t="array" ref="B71">funkcja_b(A71)</f>
        <v>2.3302446824312968</v>
      </c>
      <c r="C71">
        <f t="shared" si="1"/>
        <v>6.4516129032258064E-3</v>
      </c>
      <c r="D71">
        <f t="shared" si="2"/>
        <v>2.7523808166840524E-5</v>
      </c>
    </row>
    <row r="72" spans="1:4" x14ac:dyDescent="0.2">
      <c r="A72">
        <v>630</v>
      </c>
      <c r="B72" cm="1">
        <f t="array" ref="B72">funkcja_b(A72)</f>
        <v>2.3302455492671856</v>
      </c>
      <c r="C72">
        <f t="shared" si="1"/>
        <v>6.3492063492063492E-3</v>
      </c>
      <c r="D72">
        <f t="shared" si="2"/>
        <v>2.6656972277994129E-5</v>
      </c>
    </row>
    <row r="73" spans="1:4" x14ac:dyDescent="0.2">
      <c r="A73">
        <v>640</v>
      </c>
      <c r="B73" cm="1">
        <f t="array" ref="B73">funkcja_b(A73)</f>
        <v>2.3302463757884992</v>
      </c>
      <c r="C73">
        <f t="shared" si="1"/>
        <v>6.2500000000000003E-3</v>
      </c>
      <c r="D73">
        <f t="shared" si="2"/>
        <v>2.5830450964381413E-5</v>
      </c>
    </row>
    <row r="74" spans="1:4" x14ac:dyDescent="0.2">
      <c r="A74">
        <v>650</v>
      </c>
      <c r="B74" cm="1">
        <f t="array" ref="B74">funkcja_b(A74)</f>
        <v>2.3302471644569405</v>
      </c>
      <c r="C74">
        <f t="shared" si="1"/>
        <v>6.1538461538461538E-3</v>
      </c>
      <c r="D74">
        <f t="shared" ref="D74:D109" si="3">ABS($F$8 - B74)</f>
        <v>2.5041782523160805E-5</v>
      </c>
    </row>
    <row r="75" spans="1:4" x14ac:dyDescent="0.2">
      <c r="A75">
        <v>660</v>
      </c>
      <c r="B75" cm="1">
        <f t="array" ref="B75">funkcja_b(A75)</f>
        <v>2.3302479175491615</v>
      </c>
      <c r="C75">
        <f t="shared" ref="C75:C109" si="4">4/A75</f>
        <v>6.0606060606060606E-3</v>
      </c>
      <c r="D75">
        <f t="shared" si="3"/>
        <v>2.428869030213221E-5</v>
      </c>
    </row>
    <row r="76" spans="1:4" x14ac:dyDescent="0.2">
      <c r="A76">
        <v>670</v>
      </c>
      <c r="B76" cm="1">
        <f t="array" ref="B76">funkcja_b(A76)</f>
        <v>2.330248637173173</v>
      </c>
      <c r="C76">
        <f t="shared" si="4"/>
        <v>5.9701492537313433E-3</v>
      </c>
      <c r="D76">
        <f t="shared" si="3"/>
        <v>2.3569066290640706E-5</v>
      </c>
    </row>
    <row r="77" spans="1:4" x14ac:dyDescent="0.2">
      <c r="A77">
        <v>680</v>
      </c>
      <c r="B77" cm="1">
        <f t="array" ref="B77">funkcja_b(A77)</f>
        <v>2.3302493252831344</v>
      </c>
      <c r="C77">
        <f t="shared" si="4"/>
        <v>5.8823529411764705E-3</v>
      </c>
      <c r="D77">
        <f t="shared" si="3"/>
        <v>2.2880956329185409E-5</v>
      </c>
    </row>
    <row r="78" spans="1:4" x14ac:dyDescent="0.2">
      <c r="A78">
        <v>690</v>
      </c>
      <c r="B78" cm="1">
        <f t="array" ref="B78">funkcja_b(A78)</f>
        <v>2.3302499836926409</v>
      </c>
      <c r="C78">
        <f t="shared" si="4"/>
        <v>5.7971014492753624E-3</v>
      </c>
      <c r="D78">
        <f t="shared" si="3"/>
        <v>2.2222546822714406E-5</v>
      </c>
    </row>
    <row r="79" spans="1:4" x14ac:dyDescent="0.2">
      <c r="A79">
        <v>700</v>
      </c>
      <c r="B79" cm="1">
        <f t="array" ref="B79">funkcja_b(A79)</f>
        <v>2.3302506140866903</v>
      </c>
      <c r="C79">
        <f t="shared" si="4"/>
        <v>5.7142857142857143E-3</v>
      </c>
      <c r="D79">
        <f t="shared" si="3"/>
        <v>2.1592152773308726E-5</v>
      </c>
    </row>
    <row r="80" spans="1:4" x14ac:dyDescent="0.2">
      <c r="A80">
        <v>710</v>
      </c>
      <c r="B80" cm="1">
        <f t="array" ref="B80">funkcja_b(A80)</f>
        <v>2.3302512180324393</v>
      </c>
      <c r="C80">
        <f t="shared" si="4"/>
        <v>5.6338028169014088E-3</v>
      </c>
      <c r="D80">
        <f t="shared" si="3"/>
        <v>2.0988207024341676E-5</v>
      </c>
    </row>
    <row r="81" spans="1:4" x14ac:dyDescent="0.2">
      <c r="A81">
        <v>720</v>
      </c>
      <c r="B81" cm="1">
        <f t="array" ref="B81">funkcja_b(A81)</f>
        <v>2.3302517969889709</v>
      </c>
      <c r="C81">
        <f t="shared" si="4"/>
        <v>5.5555555555555558E-3</v>
      </c>
      <c r="D81">
        <f t="shared" si="3"/>
        <v>2.0409250492736675E-5</v>
      </c>
    </row>
    <row r="82" spans="1:4" x14ac:dyDescent="0.2">
      <c r="A82">
        <v>730</v>
      </c>
      <c r="B82" cm="1">
        <f t="array" ref="B82">funkcja_b(A82)</f>
        <v>2.3302523523161414</v>
      </c>
      <c r="C82">
        <f t="shared" si="4"/>
        <v>5.4794520547945206E-3</v>
      </c>
      <c r="D82">
        <f t="shared" si="3"/>
        <v>1.9853923322266098E-5</v>
      </c>
    </row>
    <row r="83" spans="1:4" x14ac:dyDescent="0.2">
      <c r="A83">
        <v>740</v>
      </c>
      <c r="B83" cm="1">
        <f t="array" ref="B83">funkcja_b(A83)</f>
        <v>2.3302528852825493</v>
      </c>
      <c r="C83">
        <f t="shared" si="4"/>
        <v>5.4054054054054057E-3</v>
      </c>
      <c r="D83">
        <f t="shared" si="3"/>
        <v>1.9320956914370413E-5</v>
      </c>
    </row>
    <row r="84" spans="1:4" x14ac:dyDescent="0.2">
      <c r="A84">
        <v>750</v>
      </c>
      <c r="B84" cm="1">
        <f t="array" ref="B84">funkcja_b(A84)</f>
        <v>2.3302533970727719</v>
      </c>
      <c r="C84">
        <f t="shared" si="4"/>
        <v>5.3333333333333332E-3</v>
      </c>
      <c r="D84">
        <f t="shared" si="3"/>
        <v>1.8809166691724499E-5</v>
      </c>
    </row>
    <row r="85" spans="1:4" x14ac:dyDescent="0.2">
      <c r="A85">
        <v>760</v>
      </c>
      <c r="B85" cm="1">
        <f t="array" ref="B85">funkcja_b(A85)</f>
        <v>2.3302538887939788</v>
      </c>
      <c r="C85">
        <f t="shared" si="4"/>
        <v>5.263157894736842E-3</v>
      </c>
      <c r="D85">
        <f t="shared" si="3"/>
        <v>1.8317445484861139E-5</v>
      </c>
    </row>
    <row r="86" spans="1:4" x14ac:dyDescent="0.2">
      <c r="A86">
        <v>770</v>
      </c>
      <c r="B86" cm="1">
        <f t="array" ref="B86">funkcja_b(A86)</f>
        <v>2.3302543614819151</v>
      </c>
      <c r="C86">
        <f t="shared" si="4"/>
        <v>5.1948051948051948E-3</v>
      </c>
      <c r="D86">
        <f t="shared" si="3"/>
        <v>1.7844757548513002E-5</v>
      </c>
    </row>
    <row r="87" spans="1:4" x14ac:dyDescent="0.2">
      <c r="A87">
        <v>780</v>
      </c>
      <c r="B87" cm="1">
        <f t="array" ref="B87">funkcja_b(A87)</f>
        <v>2.3302548161063577</v>
      </c>
      <c r="C87">
        <f t="shared" si="4"/>
        <v>5.1282051282051282E-3</v>
      </c>
      <c r="D87">
        <f t="shared" si="3"/>
        <v>1.7390133105976702E-5</v>
      </c>
    </row>
    <row r="88" spans="1:4" x14ac:dyDescent="0.2">
      <c r="A88">
        <v>790</v>
      </c>
      <c r="B88" cm="1">
        <f t="array" ref="B88">funkcja_b(A88)</f>
        <v>2.3302552535761061</v>
      </c>
      <c r="C88">
        <f t="shared" si="4"/>
        <v>5.0632911392405064E-3</v>
      </c>
      <c r="D88">
        <f t="shared" si="3"/>
        <v>1.695266335755008E-5</v>
      </c>
    </row>
    <row r="89" spans="1:4" x14ac:dyDescent="0.2">
      <c r="A89">
        <v>800</v>
      </c>
      <c r="B89" cm="1">
        <f t="array" ref="B89">funkcja_b(A89)</f>
        <v>2.3302556747435004</v>
      </c>
      <c r="C89">
        <f t="shared" si="4"/>
        <v>5.0000000000000001E-3</v>
      </c>
      <c r="D89">
        <f t="shared" si="3"/>
        <v>1.6531495963256759E-5</v>
      </c>
    </row>
    <row r="90" spans="1:4" x14ac:dyDescent="0.2">
      <c r="A90">
        <v>810</v>
      </c>
      <c r="B90" cm="1">
        <f t="array" ref="B90">funkcja_b(A90)</f>
        <v>2.330256080408613</v>
      </c>
      <c r="C90">
        <f t="shared" si="4"/>
        <v>4.9382716049382715E-3</v>
      </c>
      <c r="D90">
        <f t="shared" si="3"/>
        <v>1.6125830850644007E-5</v>
      </c>
    </row>
    <row r="91" spans="1:4" x14ac:dyDescent="0.2">
      <c r="A91">
        <v>820</v>
      </c>
      <c r="B91" cm="1">
        <f t="array" ref="B91">funkcja_b(A91)</f>
        <v>2.3302564713230147</v>
      </c>
      <c r="C91">
        <f t="shared" si="4"/>
        <v>4.8780487804878049E-3</v>
      </c>
      <c r="D91">
        <f t="shared" si="3"/>
        <v>1.5734916448906233E-5</v>
      </c>
    </row>
    <row r="92" spans="1:4" x14ac:dyDescent="0.2">
      <c r="A92">
        <v>830</v>
      </c>
      <c r="B92" cm="1">
        <f t="array" ref="B92">funkcja_b(A92)</f>
        <v>2.3302568481932942</v>
      </c>
      <c r="C92">
        <f t="shared" si="4"/>
        <v>4.8192771084337354E-3</v>
      </c>
      <c r="D92">
        <f t="shared" si="3"/>
        <v>1.5358046169478001E-5</v>
      </c>
    </row>
    <row r="93" spans="1:4" x14ac:dyDescent="0.2">
      <c r="A93">
        <v>840</v>
      </c>
      <c r="B93" cm="1">
        <f t="array" ref="B93">funkcja_b(A93)</f>
        <v>2.3302572116842004</v>
      </c>
      <c r="C93">
        <f t="shared" si="4"/>
        <v>4.7619047619047623E-3</v>
      </c>
      <c r="D93">
        <f t="shared" si="3"/>
        <v>1.4994555263214693E-5</v>
      </c>
    </row>
    <row r="94" spans="1:4" x14ac:dyDescent="0.2">
      <c r="A94">
        <v>850</v>
      </c>
      <c r="B94" cm="1">
        <f t="array" ref="B94">funkcja_b(A94)</f>
        <v>2.3302575624216431</v>
      </c>
      <c r="C94">
        <f t="shared" si="4"/>
        <v>4.7058823529411761E-3</v>
      </c>
      <c r="D94">
        <f t="shared" si="3"/>
        <v>1.4643817820569893E-5</v>
      </c>
    </row>
    <row r="95" spans="1:4" x14ac:dyDescent="0.2">
      <c r="A95">
        <v>860</v>
      </c>
      <c r="B95" cm="1">
        <f t="array" ref="B95">funkcja_b(A95)</f>
        <v>2.3302579009953557</v>
      </c>
      <c r="C95">
        <f t="shared" si="4"/>
        <v>4.6511627906976744E-3</v>
      </c>
      <c r="D95">
        <f t="shared" si="3"/>
        <v>1.4305244107948312E-5</v>
      </c>
    </row>
    <row r="96" spans="1:4" x14ac:dyDescent="0.2">
      <c r="A96">
        <v>870</v>
      </c>
      <c r="B96" cm="1">
        <f t="array" ref="B96">funkcja_b(A96)</f>
        <v>2.3302582279613446</v>
      </c>
      <c r="C96">
        <f t="shared" si="4"/>
        <v>4.5977011494252873E-3</v>
      </c>
      <c r="D96">
        <f t="shared" si="3"/>
        <v>1.3978278118997878E-5</v>
      </c>
    </row>
    <row r="97" spans="1:4" x14ac:dyDescent="0.2">
      <c r="A97">
        <v>880</v>
      </c>
      <c r="B97" cm="1">
        <f t="array" ref="B97">funkcja_b(A97)</f>
        <v>2.3302585438442387</v>
      </c>
      <c r="C97">
        <f t="shared" si="4"/>
        <v>4.5454545454545452E-3</v>
      </c>
      <c r="D97">
        <f t="shared" si="3"/>
        <v>1.3662395224933732E-5</v>
      </c>
    </row>
    <row r="98" spans="1:4" x14ac:dyDescent="0.2">
      <c r="A98">
        <v>890</v>
      </c>
      <c r="B98" cm="1">
        <f t="array" ref="B98">funkcja_b(A98)</f>
        <v>2.3302588491393195</v>
      </c>
      <c r="C98">
        <f t="shared" si="4"/>
        <v>4.4943820224719105E-3</v>
      </c>
      <c r="D98">
        <f t="shared" si="3"/>
        <v>1.3357100144162359E-5</v>
      </c>
    </row>
    <row r="99" spans="1:4" x14ac:dyDescent="0.2">
      <c r="A99">
        <v>900</v>
      </c>
      <c r="B99" cm="1">
        <f t="array" ref="B99">funkcja_b(A99)</f>
        <v>2.3302591443145628</v>
      </c>
      <c r="C99">
        <f t="shared" si="4"/>
        <v>4.4444444444444444E-3</v>
      </c>
      <c r="D99">
        <f t="shared" si="3"/>
        <v>1.306192490080349E-5</v>
      </c>
    </row>
    <row r="100" spans="1:4" x14ac:dyDescent="0.2">
      <c r="A100">
        <v>910</v>
      </c>
      <c r="B100" cm="1">
        <f t="array" ref="B100">funkcja_b(A100)</f>
        <v>2.3302594298123216</v>
      </c>
      <c r="C100">
        <f t="shared" si="4"/>
        <v>4.3956043956043956E-3</v>
      </c>
      <c r="D100">
        <f t="shared" si="3"/>
        <v>1.2776427142036084E-5</v>
      </c>
    </row>
    <row r="101" spans="1:4" x14ac:dyDescent="0.2">
      <c r="A101">
        <v>920</v>
      </c>
      <c r="B101" cm="1">
        <f t="array" ref="B101">funkcja_b(A101)</f>
        <v>2.3302597060510735</v>
      </c>
      <c r="C101">
        <f t="shared" si="4"/>
        <v>4.3478260869565218E-3</v>
      </c>
      <c r="D101">
        <f t="shared" si="3"/>
        <v>1.2500188390163203E-5</v>
      </c>
    </row>
    <row r="102" spans="1:4" x14ac:dyDescent="0.2">
      <c r="A102">
        <v>930</v>
      </c>
      <c r="B102" cm="1">
        <f t="array" ref="B102">funkcja_b(A102)</f>
        <v>2.3302599734268963</v>
      </c>
      <c r="C102">
        <f t="shared" si="4"/>
        <v>4.3010752688172043E-3</v>
      </c>
      <c r="D102">
        <f t="shared" si="3"/>
        <v>1.2232812567347651E-5</v>
      </c>
    </row>
    <row r="103" spans="1:4" x14ac:dyDescent="0.2">
      <c r="A103">
        <v>940</v>
      </c>
      <c r="B103" cm="1">
        <f t="array" ref="B103">funkcja_b(A103)</f>
        <v>2.3302602323149193</v>
      </c>
      <c r="C103">
        <f t="shared" si="4"/>
        <v>4.2553191489361703E-3</v>
      </c>
      <c r="D103">
        <f t="shared" si="3"/>
        <v>1.197392454432844E-5</v>
      </c>
    </row>
    <row r="104" spans="1:4" x14ac:dyDescent="0.2">
      <c r="A104">
        <v>950</v>
      </c>
      <c r="B104" cm="1">
        <f t="array" ref="B104">funkcja_b(A104)</f>
        <v>2.3302604830706564</v>
      </c>
      <c r="C104">
        <f t="shared" si="4"/>
        <v>4.2105263157894736E-3</v>
      </c>
      <c r="D104">
        <f t="shared" si="3"/>
        <v>1.1723168807264983E-5</v>
      </c>
    </row>
    <row r="105" spans="1:4" x14ac:dyDescent="0.2">
      <c r="A105">
        <v>960</v>
      </c>
      <c r="B105" cm="1">
        <f t="array" ref="B105">funkcja_b(A105)</f>
        <v>2.3302607260311636</v>
      </c>
      <c r="C105">
        <f t="shared" si="4"/>
        <v>4.1666666666666666E-3</v>
      </c>
      <c r="D105">
        <f t="shared" si="3"/>
        <v>1.1480208299996519E-5</v>
      </c>
    </row>
    <row r="106" spans="1:4" x14ac:dyDescent="0.2">
      <c r="A106">
        <v>970</v>
      </c>
      <c r="B106" cm="1">
        <f t="array" ref="B106">funkcja_b(A106)</f>
        <v>2.3302609615162266</v>
      </c>
      <c r="C106">
        <f t="shared" si="4"/>
        <v>4.1237113402061857E-3</v>
      </c>
      <c r="D106">
        <f t="shared" si="3"/>
        <v>1.1244723236991661E-5</v>
      </c>
    </row>
    <row r="107" spans="1:4" x14ac:dyDescent="0.2">
      <c r="A107">
        <v>980</v>
      </c>
      <c r="B107" cm="1">
        <f t="array" ref="B107">funkcja_b(A107)</f>
        <v>2.3302611898294185</v>
      </c>
      <c r="C107">
        <f t="shared" si="4"/>
        <v>4.0816326530612249E-3</v>
      </c>
      <c r="D107">
        <f t="shared" si="3"/>
        <v>1.1016410045083802E-5</v>
      </c>
    </row>
    <row r="108" spans="1:4" x14ac:dyDescent="0.2">
      <c r="A108">
        <v>990</v>
      </c>
      <c r="B108" cm="1">
        <f t="array" ref="B108">funkcja_b(A108)</f>
        <v>2.3302614112590447</v>
      </c>
      <c r="C108">
        <f t="shared" si="4"/>
        <v>4.0404040404040404E-3</v>
      </c>
      <c r="D108">
        <f t="shared" si="3"/>
        <v>1.0794980418893374E-5</v>
      </c>
    </row>
    <row r="109" spans="1:4" x14ac:dyDescent="0.2">
      <c r="A109">
        <v>1000</v>
      </c>
      <c r="B109" cm="1">
        <f t="array" ref="B109">funkcja_b(A109)</f>
        <v>2.3302616260790363</v>
      </c>
      <c r="C109">
        <f t="shared" si="4"/>
        <v>4.0000000000000001E-3</v>
      </c>
      <c r="D109">
        <f t="shared" si="3"/>
        <v>1.0580160427320351E-5</v>
      </c>
    </row>
  </sheetData>
  <mergeCells count="3">
    <mergeCell ref="A3:E3"/>
    <mergeCell ref="H25:L25"/>
    <mergeCell ref="H26:L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YKRES">
                <anchor moveWithCells="1" sizeWithCells="1">
                  <from>
                    <xdr:col>4</xdr:col>
                    <xdr:colOff>127000</xdr:colOff>
                    <xdr:row>8</xdr:row>
                    <xdr:rowOff>190500</xdr:rowOff>
                  </from>
                  <to>
                    <xdr:col>5</xdr:col>
                    <xdr:colOff>673100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DB318-687D-FF47-9D2A-D0431E48E089}">
  <sheetPr codeName="Arkusz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2022-10-22T12:33:42Z</dcterms:created>
  <dcterms:modified xsi:type="dcterms:W3CDTF">2022-10-23T17:21:40Z</dcterms:modified>
</cp:coreProperties>
</file>