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mariadeka/Desktop/studia/3. semestr/"/>
    </mc:Choice>
  </mc:AlternateContent>
  <xr:revisionPtr revIDLastSave="0" documentId="8_{FC912843-2F2A-4F4F-B397-584D232BA19E}" xr6:coauthVersionLast="47" xr6:coauthVersionMax="47" xr10:uidLastSave="{00000000-0000-0000-0000-000000000000}"/>
  <bookViews>
    <workbookView xWindow="0" yWindow="0" windowWidth="28800" windowHeight="18000" activeTab="1" xr2:uid="{E88388F0-D532-314C-84C1-8CBB6CF97F6E}"/>
  </bookViews>
  <sheets>
    <sheet name="Arkusz1" sheetId="1" r:id="rId1"/>
    <sheet name="Arkusz2" sheetId="2" r:id="rId2"/>
  </sheets>
  <functionGroups builtInGroupCount="19"/>
  <definedNames>
    <definedName name="_xlchart.v1.0" hidden="1">Arkusz1!$A$2</definedName>
    <definedName name="_xlchart.v1.1" hidden="1">Arkusz1!$A$3:$A$23</definedName>
    <definedName name="_xlchart.v1.10" hidden="1">Arkusz1!$C$2</definedName>
    <definedName name="_xlchart.v1.11" hidden="1">Arkusz1!$C$3:$C$23</definedName>
    <definedName name="_xlchart.v1.12" hidden="1">Arkusz1!$A$2</definedName>
    <definedName name="_xlchart.v1.13" hidden="1">Arkusz1!$A$3:$A$23</definedName>
    <definedName name="_xlchart.v1.14" hidden="1">Arkusz1!$B$2</definedName>
    <definedName name="_xlchart.v1.15" hidden="1">Arkusz1!$B$3:$B$23</definedName>
    <definedName name="_xlchart.v1.16" hidden="1">Arkusz1!$C$2</definedName>
    <definedName name="_xlchart.v1.17" hidden="1">Arkusz1!$C$3:$C$23</definedName>
    <definedName name="_xlchart.v1.18" hidden="1">Arkusz1!$A$2</definedName>
    <definedName name="_xlchart.v1.19" hidden="1">Arkusz1!$A$3:$A$23</definedName>
    <definedName name="_xlchart.v1.2" hidden="1">Arkusz1!$B$2</definedName>
    <definedName name="_xlchart.v1.20" hidden="1">Arkusz1!$B$2</definedName>
    <definedName name="_xlchart.v1.21" hidden="1">Arkusz1!$B$3:$B$23</definedName>
    <definedName name="_xlchart.v1.22" hidden="1">Arkusz1!$C$2</definedName>
    <definedName name="_xlchart.v1.23" hidden="1">Arkusz1!$C$3:$C$23</definedName>
    <definedName name="_xlchart.v1.24" hidden="1">Arkusz1!#REF!</definedName>
    <definedName name="_xlchart.v1.25" hidden="1">Arkusz1!$A$10</definedName>
    <definedName name="_xlchart.v1.26" hidden="1">Arkusz1!$A$11</definedName>
    <definedName name="_xlchart.v1.27" hidden="1">Arkusz1!$A$12</definedName>
    <definedName name="_xlchart.v1.28" hidden="1">Arkusz1!$A$13</definedName>
    <definedName name="_xlchart.v1.29" hidden="1">Arkusz1!$A$14</definedName>
    <definedName name="_xlchart.v1.3" hidden="1">Arkusz1!$B$3:$B$23</definedName>
    <definedName name="_xlchart.v1.30" hidden="1">Arkusz1!$A$15</definedName>
    <definedName name="_xlchart.v1.31" hidden="1">Arkusz1!$A$16</definedName>
    <definedName name="_xlchart.v1.32" hidden="1">Arkusz1!$A$17</definedName>
    <definedName name="_xlchart.v1.33" hidden="1">Arkusz1!$A$18</definedName>
    <definedName name="_xlchart.v1.34" hidden="1">Arkusz1!$A$19</definedName>
    <definedName name="_xlchart.v1.35" hidden="1">Arkusz1!$A$2</definedName>
    <definedName name="_xlchart.v1.36" hidden="1">Arkusz1!$A$20</definedName>
    <definedName name="_xlchart.v1.37" hidden="1">Arkusz1!$A$21</definedName>
    <definedName name="_xlchart.v1.38" hidden="1">Arkusz1!$A$22</definedName>
    <definedName name="_xlchart.v1.39" hidden="1">Arkusz1!$A$3</definedName>
    <definedName name="_xlchart.v1.4" hidden="1">Arkusz1!$C$2</definedName>
    <definedName name="_xlchart.v1.40" hidden="1">Arkusz1!$A$4</definedName>
    <definedName name="_xlchart.v1.41" hidden="1">Arkusz1!$A$6</definedName>
    <definedName name="_xlchart.v1.42" hidden="1">Arkusz1!$A$7</definedName>
    <definedName name="_xlchart.v1.43" hidden="1">Arkusz1!$A$8</definedName>
    <definedName name="_xlchart.v1.44" hidden="1">Arkusz1!$A$9</definedName>
    <definedName name="_xlchart.v1.45" hidden="1">Arkusz1!$B$10:$V$10</definedName>
    <definedName name="_xlchart.v1.46" hidden="1">Arkusz1!$B$11:$V$11</definedName>
    <definedName name="_xlchart.v1.47" hidden="1">Arkusz1!$B$12:$V$12</definedName>
    <definedName name="_xlchart.v1.48" hidden="1">Arkusz1!$B$13:$V$13</definedName>
    <definedName name="_xlchart.v1.49" hidden="1">Arkusz1!$B$14:$V$14</definedName>
    <definedName name="_xlchart.v1.5" hidden="1">Arkusz1!$C$3:$C$23</definedName>
    <definedName name="_xlchart.v1.50" hidden="1">Arkusz1!$B$15:$V$15</definedName>
    <definedName name="_xlchart.v1.51" hidden="1">Arkusz1!$B$16:$V$16</definedName>
    <definedName name="_xlchart.v1.52" hidden="1">Arkusz1!$B$17:$V$17</definedName>
    <definedName name="_xlchart.v1.53" hidden="1">Arkusz1!$B$18:$V$18</definedName>
    <definedName name="_xlchart.v1.54" hidden="1">Arkusz1!$B$19:$V$19</definedName>
    <definedName name="_xlchart.v1.55" hidden="1">Arkusz1!$B$1:$V$1</definedName>
    <definedName name="_xlchart.v1.56" hidden="1">Arkusz1!$B$20:$V$20</definedName>
    <definedName name="_xlchart.v1.57" hidden="1">Arkusz1!$B$21:$V$21</definedName>
    <definedName name="_xlchart.v1.58" hidden="1">Arkusz1!$B$22:$V$22</definedName>
    <definedName name="_xlchart.v1.59" hidden="1">Arkusz1!$B$2:$V$2</definedName>
    <definedName name="_xlchart.v1.6" hidden="1">Arkusz1!$A$2</definedName>
    <definedName name="_xlchart.v1.60" hidden="1">Arkusz1!$B$3:$V$3</definedName>
    <definedName name="_xlchart.v1.61" hidden="1">Arkusz1!$B$4:$V$4</definedName>
    <definedName name="_xlchart.v1.62" hidden="1">Arkusz1!$B$5:$V$5</definedName>
    <definedName name="_xlchart.v1.63" hidden="1">Arkusz1!$B$6:$V$6</definedName>
    <definedName name="_xlchart.v1.64" hidden="1">Arkusz1!$B$7:$V$7</definedName>
    <definedName name="_xlchart.v1.65" hidden="1">Arkusz1!$B$8:$V$8</definedName>
    <definedName name="_xlchart.v1.66" hidden="1">Arkusz1!$B$9:$V$9</definedName>
    <definedName name="_xlchart.v1.7" hidden="1">Arkusz1!$A$3:$A$23</definedName>
    <definedName name="_xlchart.v1.8" hidden="1">Arkusz1!$B$2</definedName>
    <definedName name="_xlchart.v1.9" hidden="1">Arkusz1!$B$3:$B$23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" l="1"/>
  <c r="L2" i="2"/>
  <c r="K2" i="2"/>
  <c r="J2" i="2"/>
  <c r="I2" i="2"/>
  <c r="E3" i="2"/>
  <c r="F4" i="2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3" i="2"/>
  <c r="D2" i="2"/>
  <c r="D3" i="2" s="1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B2" i="2"/>
  <c r="B3" i="2" s="1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E3" i="1"/>
  <c r="B3" i="1"/>
  <c r="C5" i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B5" i="1"/>
  <c r="A6" i="1"/>
  <c r="C6" i="1" a="1"/>
  <c r="G6" i="1" a="1"/>
  <c r="K6" i="1" a="1"/>
  <c r="O6" i="1" a="1"/>
  <c r="S6" i="1" a="1"/>
  <c r="D6" i="1" a="1"/>
  <c r="E6" i="1" a="1"/>
  <c r="J6" i="1" a="1"/>
  <c r="P6" i="1" a="1"/>
  <c r="U6" i="1" a="1"/>
  <c r="F6" i="1" a="1"/>
  <c r="L6" i="1" a="1"/>
  <c r="Q6" i="1" a="1"/>
  <c r="H6" i="1" a="1"/>
  <c r="M6" i="1" a="1"/>
  <c r="R6" i="1" a="1"/>
  <c r="I6" i="1" a="1"/>
  <c r="N6" i="1" a="1"/>
  <c r="T6" i="1" a="1"/>
  <c r="B6" i="1" a="1"/>
  <c r="E4" i="2" l="1"/>
  <c r="D85" i="2"/>
  <c r="D86" i="2" s="1"/>
  <c r="E5" i="2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A7" i="1"/>
  <c r="T6" i="1"/>
  <c r="N6" i="1"/>
  <c r="I6" i="1"/>
  <c r="R6" i="1"/>
  <c r="M6" i="1"/>
  <c r="H6" i="1"/>
  <c r="Q6" i="1"/>
  <c r="L6" i="1"/>
  <c r="F6" i="1"/>
  <c r="U6" i="1"/>
  <c r="P6" i="1"/>
  <c r="J6" i="1"/>
  <c r="E6" i="1"/>
  <c r="D6" i="1"/>
  <c r="S6" i="1"/>
  <c r="O6" i="1"/>
  <c r="K6" i="1"/>
  <c r="G6" i="1"/>
  <c r="C6" i="1"/>
  <c r="B6" i="1"/>
  <c r="B7" i="1" a="1"/>
  <c r="T7" i="1" a="1"/>
  <c r="F7" i="1" a="1"/>
  <c r="K7" i="1" a="1"/>
  <c r="U7" i="1" a="1"/>
  <c r="P7" i="1" a="1"/>
  <c r="O7" i="1" a="1"/>
  <c r="S7" i="1" a="1"/>
  <c r="J7" i="1" a="1"/>
  <c r="E7" i="1" a="1"/>
  <c r="N7" i="1" a="1"/>
  <c r="R7" i="1" a="1"/>
  <c r="I7" i="1" a="1"/>
  <c r="C7" i="1" a="1"/>
  <c r="M7" i="1" a="1"/>
  <c r="Q7" i="1" a="1"/>
  <c r="L7" i="1" a="1"/>
  <c r="G7" i="1" a="1"/>
  <c r="H7" i="1" a="1"/>
  <c r="D7" i="1" a="1"/>
  <c r="D7" i="1" l="1"/>
  <c r="H7" i="1"/>
  <c r="G7" i="1"/>
  <c r="L7" i="1"/>
  <c r="Q7" i="1"/>
  <c r="M7" i="1"/>
  <c r="C7" i="1"/>
  <c r="I7" i="1"/>
  <c r="R7" i="1"/>
  <c r="N7" i="1"/>
  <c r="E7" i="1"/>
  <c r="J7" i="1"/>
  <c r="S7" i="1"/>
  <c r="O7" i="1"/>
  <c r="P7" i="1"/>
  <c r="U7" i="1"/>
  <c r="K7" i="1"/>
  <c r="F7" i="1"/>
  <c r="T7" i="1"/>
  <c r="B7" i="1"/>
  <c r="A8" i="1"/>
  <c r="B8" i="1" a="1"/>
  <c r="F8" i="1" a="1"/>
  <c r="O8" i="1" a="1"/>
  <c r="I8" i="1" a="1"/>
  <c r="T8" i="1" a="1"/>
  <c r="K8" i="1" a="1"/>
  <c r="S8" i="1" a="1"/>
  <c r="J8" i="1" a="1"/>
  <c r="E8" i="1" a="1"/>
  <c r="R8" i="1" a="1"/>
  <c r="M8" i="1" a="1"/>
  <c r="D8" i="1" a="1"/>
  <c r="Q8" i="1" a="1"/>
  <c r="H8" i="1" a="1"/>
  <c r="N8" i="1" a="1"/>
  <c r="U8" i="1" a="1"/>
  <c r="L8" i="1" a="1"/>
  <c r="C8" i="1" a="1"/>
  <c r="P8" i="1" a="1"/>
  <c r="G8" i="1" a="1"/>
  <c r="G8" i="1" l="1"/>
  <c r="P8" i="1"/>
  <c r="C8" i="1"/>
  <c r="L8" i="1"/>
  <c r="U8" i="1"/>
  <c r="N8" i="1"/>
  <c r="H8" i="1"/>
  <c r="Q8" i="1"/>
  <c r="D8" i="1"/>
  <c r="M8" i="1"/>
  <c r="R8" i="1"/>
  <c r="E8" i="1"/>
  <c r="J8" i="1"/>
  <c r="S8" i="1"/>
  <c r="K8" i="1"/>
  <c r="T8" i="1"/>
  <c r="I8" i="1"/>
  <c r="O8" i="1"/>
  <c r="F8" i="1"/>
  <c r="B8" i="1"/>
  <c r="A9" i="1"/>
  <c r="B9" i="1" a="1"/>
  <c r="S9" i="1" a="1"/>
  <c r="E9" i="1" a="1"/>
  <c r="N9" i="1" a="1"/>
  <c r="O9" i="1" a="1"/>
  <c r="J9" i="1" a="1"/>
  <c r="R9" i="1" a="1"/>
  <c r="I9" i="1" a="1"/>
  <c r="M9" i="1" a="1"/>
  <c r="D9" i="1" a="1"/>
  <c r="Q9" i="1" a="1"/>
  <c r="H9" i="1" a="1"/>
  <c r="U9" i="1" a="1"/>
  <c r="L9" i="1" a="1"/>
  <c r="C9" i="1" a="1"/>
  <c r="P9" i="1" a="1"/>
  <c r="G9" i="1" a="1"/>
  <c r="T9" i="1" a="1"/>
  <c r="K9" i="1" a="1"/>
  <c r="F9" i="1" a="1"/>
  <c r="F9" i="1" l="1"/>
  <c r="K9" i="1"/>
  <c r="T9" i="1"/>
  <c r="G9" i="1"/>
  <c r="P9" i="1"/>
  <c r="C9" i="1"/>
  <c r="L9" i="1"/>
  <c r="U9" i="1"/>
  <c r="H9" i="1"/>
  <c r="Q9" i="1"/>
  <c r="D9" i="1"/>
  <c r="M9" i="1"/>
  <c r="I9" i="1"/>
  <c r="R9" i="1"/>
  <c r="J9" i="1"/>
  <c r="O9" i="1"/>
  <c r="N9" i="1"/>
  <c r="E9" i="1"/>
  <c r="S9" i="1"/>
  <c r="B9" i="1"/>
  <c r="A10" i="1"/>
  <c r="B10" i="1" a="1"/>
  <c r="I10" i="1" a="1"/>
  <c r="R10" i="1" a="1"/>
  <c r="N10" i="1" a="1"/>
  <c r="E10" i="1" a="1"/>
  <c r="M10" i="1" a="1"/>
  <c r="D10" i="1" a="1"/>
  <c r="Q10" i="1" a="1"/>
  <c r="H10" i="1" a="1"/>
  <c r="C10" i="1" a="1"/>
  <c r="U10" i="1" a="1"/>
  <c r="L10" i="1" a="1"/>
  <c r="G10" i="1" a="1"/>
  <c r="P10" i="1" a="1"/>
  <c r="K10" i="1" a="1"/>
  <c r="T10" i="1" a="1"/>
  <c r="O10" i="1" a="1"/>
  <c r="F10" i="1" a="1"/>
  <c r="S10" i="1" a="1"/>
  <c r="J10" i="1" a="1"/>
  <c r="J10" i="1" l="1"/>
  <c r="S10" i="1"/>
  <c r="F10" i="1"/>
  <c r="O10" i="1"/>
  <c r="T10" i="1"/>
  <c r="K10" i="1"/>
  <c r="P10" i="1"/>
  <c r="G10" i="1"/>
  <c r="L10" i="1"/>
  <c r="U10" i="1"/>
  <c r="C10" i="1"/>
  <c r="H10" i="1"/>
  <c r="Q10" i="1"/>
  <c r="D10" i="1"/>
  <c r="M10" i="1"/>
  <c r="E10" i="1"/>
  <c r="N10" i="1"/>
  <c r="R10" i="1"/>
  <c r="I10" i="1"/>
  <c r="B10" i="1"/>
  <c r="A11" i="1"/>
  <c r="B11" i="1" a="1"/>
  <c r="M11" i="1" a="1"/>
  <c r="H11" i="1" a="1"/>
  <c r="R11" i="1" a="1"/>
  <c r="I11" i="1" a="1"/>
  <c r="D11" i="1" a="1"/>
  <c r="Q11" i="1" a="1"/>
  <c r="L11" i="1" a="1"/>
  <c r="C11" i="1" a="1"/>
  <c r="U11" i="1" a="1"/>
  <c r="P11" i="1" a="1"/>
  <c r="G11" i="1" a="1"/>
  <c r="T11" i="1" a="1"/>
  <c r="K11" i="1" a="1"/>
  <c r="O11" i="1" a="1"/>
  <c r="F11" i="1" a="1"/>
  <c r="S11" i="1" a="1"/>
  <c r="J11" i="1" a="1"/>
  <c r="N11" i="1" a="1"/>
  <c r="E11" i="1" a="1"/>
  <c r="E11" i="1" l="1"/>
  <c r="N11" i="1"/>
  <c r="J11" i="1"/>
  <c r="S11" i="1"/>
  <c r="F11" i="1"/>
  <c r="O11" i="1"/>
  <c r="K11" i="1"/>
  <c r="T11" i="1"/>
  <c r="G11" i="1"/>
  <c r="P11" i="1"/>
  <c r="U11" i="1"/>
  <c r="C11" i="1"/>
  <c r="L11" i="1"/>
  <c r="Q11" i="1"/>
  <c r="D11" i="1"/>
  <c r="I11" i="1"/>
  <c r="R11" i="1"/>
  <c r="H11" i="1"/>
  <c r="M11" i="1"/>
  <c r="B11" i="1"/>
  <c r="A12" i="1"/>
  <c r="B12" i="1" a="1"/>
  <c r="C12" i="1" a="1"/>
  <c r="U12" i="1" a="1"/>
  <c r="L12" i="1" a="1"/>
  <c r="Q12" i="1" a="1"/>
  <c r="H12" i="1" a="1"/>
  <c r="P12" i="1" a="1"/>
  <c r="G12" i="1" a="1"/>
  <c r="T12" i="1" a="1"/>
  <c r="K12" i="1" a="1"/>
  <c r="O12" i="1" a="1"/>
  <c r="F12" i="1" a="1"/>
  <c r="S12" i="1" a="1"/>
  <c r="J12" i="1" a="1"/>
  <c r="E12" i="1" a="1"/>
  <c r="N12" i="1" a="1"/>
  <c r="I12" i="1" a="1"/>
  <c r="R12" i="1" a="1"/>
  <c r="M12" i="1" a="1"/>
  <c r="D12" i="1" a="1"/>
  <c r="D12" i="1" l="1"/>
  <c r="M12" i="1"/>
  <c r="R12" i="1"/>
  <c r="I12" i="1"/>
  <c r="N12" i="1"/>
  <c r="E12" i="1"/>
  <c r="J12" i="1"/>
  <c r="S12" i="1"/>
  <c r="F12" i="1"/>
  <c r="O12" i="1"/>
  <c r="K12" i="1"/>
  <c r="T12" i="1"/>
  <c r="G12" i="1"/>
  <c r="P12" i="1"/>
  <c r="H12" i="1"/>
  <c r="Q12" i="1"/>
  <c r="L12" i="1"/>
  <c r="U12" i="1"/>
  <c r="C12" i="1"/>
  <c r="B12" i="1"/>
  <c r="A13" i="1"/>
  <c r="B13" i="1" a="1"/>
  <c r="G13" i="1" a="1"/>
  <c r="P13" i="1" a="1"/>
  <c r="U13" i="1" a="1"/>
  <c r="L13" i="1" a="1"/>
  <c r="C13" i="1" a="1"/>
  <c r="T13" i="1" a="1"/>
  <c r="K13" i="1" a="1"/>
  <c r="F13" i="1" a="1"/>
  <c r="O13" i="1" a="1"/>
  <c r="S13" i="1" a="1"/>
  <c r="N13" i="1" a="1"/>
  <c r="E13" i="1" a="1"/>
  <c r="J13" i="1" a="1"/>
  <c r="R13" i="1" a="1"/>
  <c r="I13" i="1" a="1"/>
  <c r="M13" i="1" a="1"/>
  <c r="D13" i="1" a="1"/>
  <c r="Q13" i="1" a="1"/>
  <c r="H13" i="1" a="1"/>
  <c r="H13" i="1" l="1"/>
  <c r="Q13" i="1"/>
  <c r="D13" i="1"/>
  <c r="M13" i="1"/>
  <c r="I13" i="1"/>
  <c r="R13" i="1"/>
  <c r="J13" i="1"/>
  <c r="E13" i="1"/>
  <c r="N13" i="1"/>
  <c r="S13" i="1"/>
  <c r="O13" i="1"/>
  <c r="F13" i="1"/>
  <c r="K13" i="1"/>
  <c r="T13" i="1"/>
  <c r="C13" i="1"/>
  <c r="L13" i="1"/>
  <c r="U13" i="1"/>
  <c r="P13" i="1"/>
  <c r="G13" i="1"/>
  <c r="B13" i="1"/>
  <c r="A14" i="1"/>
  <c r="B14" i="1" a="1"/>
  <c r="F14" i="1" a="1"/>
  <c r="T14" i="1" a="1"/>
  <c r="O14" i="1" a="1"/>
  <c r="P14" i="1" a="1"/>
  <c r="K14" i="1" a="1"/>
  <c r="S14" i="1" a="1"/>
  <c r="J14" i="1" a="1"/>
  <c r="N14" i="1" a="1"/>
  <c r="R14" i="1" a="1"/>
  <c r="I14" i="1" a="1"/>
  <c r="M14" i="1" a="1"/>
  <c r="D14" i="1" a="1"/>
  <c r="E14" i="1" a="1"/>
  <c r="Q14" i="1" a="1"/>
  <c r="H14" i="1" a="1"/>
  <c r="C14" i="1" a="1"/>
  <c r="U14" i="1" a="1"/>
  <c r="L14" i="1" a="1"/>
  <c r="G14" i="1" a="1"/>
  <c r="G14" i="1" l="1"/>
  <c r="L14" i="1"/>
  <c r="U14" i="1"/>
  <c r="C14" i="1"/>
  <c r="H14" i="1"/>
  <c r="Q14" i="1"/>
  <c r="E14" i="1"/>
  <c r="D14" i="1"/>
  <c r="M14" i="1"/>
  <c r="I14" i="1"/>
  <c r="R14" i="1"/>
  <c r="N14" i="1"/>
  <c r="J14" i="1"/>
  <c r="S14" i="1"/>
  <c r="K14" i="1"/>
  <c r="P14" i="1"/>
  <c r="O14" i="1"/>
  <c r="T14" i="1"/>
  <c r="F14" i="1"/>
  <c r="B14" i="1"/>
  <c r="A15" i="1"/>
  <c r="B15" i="1" a="1"/>
  <c r="N15" i="1" a="1"/>
  <c r="J15" i="1" a="1"/>
  <c r="E15" i="1" a="1"/>
  <c r="S15" i="1" a="1"/>
  <c r="O15" i="1" a="1"/>
  <c r="F15" i="1" a="1"/>
  <c r="I15" i="1" a="1"/>
  <c r="M15" i="1" a="1"/>
  <c r="H15" i="1" a="1"/>
  <c r="D15" i="1" a="1"/>
  <c r="Q15" i="1" a="1"/>
  <c r="L15" i="1" a="1"/>
  <c r="C15" i="1" a="1"/>
  <c r="U15" i="1" a="1"/>
  <c r="P15" i="1" a="1"/>
  <c r="G15" i="1" a="1"/>
  <c r="R15" i="1" a="1"/>
  <c r="T15" i="1" a="1"/>
  <c r="K15" i="1" a="1"/>
  <c r="K15" i="1" l="1"/>
  <c r="T15" i="1"/>
  <c r="R15" i="1"/>
  <c r="G15" i="1"/>
  <c r="P15" i="1"/>
  <c r="U15" i="1"/>
  <c r="C15" i="1"/>
  <c r="L15" i="1"/>
  <c r="Q15" i="1"/>
  <c r="D15" i="1"/>
  <c r="H15" i="1"/>
  <c r="M15" i="1"/>
  <c r="I15" i="1"/>
  <c r="F15" i="1"/>
  <c r="O15" i="1"/>
  <c r="S15" i="1"/>
  <c r="E15" i="1"/>
  <c r="J15" i="1"/>
  <c r="N15" i="1"/>
  <c r="B15" i="1"/>
  <c r="A16" i="1"/>
  <c r="B16" i="1" a="1"/>
  <c r="M16" i="1" a="1"/>
  <c r="I16" i="1" a="1"/>
  <c r="R16" i="1" a="1"/>
  <c r="D16" i="1" a="1"/>
  <c r="N16" i="1" a="1"/>
  <c r="H16" i="1" a="1"/>
  <c r="S16" i="1" a="1"/>
  <c r="J16" i="1" a="1"/>
  <c r="E16" i="1" a="1"/>
  <c r="U16" i="1" a="1"/>
  <c r="L16" i="1" a="1"/>
  <c r="C16" i="1" a="1"/>
  <c r="P16" i="1" a="1"/>
  <c r="G16" i="1" a="1"/>
  <c r="Q16" i="1" a="1"/>
  <c r="T16" i="1" a="1"/>
  <c r="K16" i="1" a="1"/>
  <c r="O16" i="1" a="1"/>
  <c r="F16" i="1" a="1"/>
  <c r="F16" i="1" l="1"/>
  <c r="O16" i="1"/>
  <c r="K16" i="1"/>
  <c r="T16" i="1"/>
  <c r="Q16" i="1"/>
  <c r="G16" i="1"/>
  <c r="P16" i="1"/>
  <c r="C16" i="1"/>
  <c r="L16" i="1"/>
  <c r="U16" i="1"/>
  <c r="E16" i="1"/>
  <c r="J16" i="1"/>
  <c r="S16" i="1"/>
  <c r="H16" i="1"/>
  <c r="N16" i="1"/>
  <c r="D16" i="1"/>
  <c r="R16" i="1"/>
  <c r="I16" i="1"/>
  <c r="M16" i="1"/>
  <c r="B16" i="1"/>
  <c r="A17" i="1"/>
  <c r="B17" i="1" a="1"/>
  <c r="H17" i="1" a="1"/>
  <c r="D17" i="1" a="1"/>
  <c r="Q17" i="1" a="1"/>
  <c r="M17" i="1" a="1"/>
  <c r="R17" i="1" a="1"/>
  <c r="I17" i="1" a="1"/>
  <c r="C17" i="1" a="1"/>
  <c r="P17" i="1" a="1"/>
  <c r="U17" i="1" a="1"/>
  <c r="T17" i="1" a="1"/>
  <c r="K17" i="1" a="1"/>
  <c r="F17" i="1" a="1"/>
  <c r="G17" i="1" a="1"/>
  <c r="O17" i="1" a="1"/>
  <c r="J17" i="1" a="1"/>
  <c r="L17" i="1" a="1"/>
  <c r="S17" i="1" a="1"/>
  <c r="N17" i="1" a="1"/>
  <c r="E17" i="1" a="1"/>
  <c r="E17" i="1" l="1"/>
  <c r="N17" i="1"/>
  <c r="S17" i="1"/>
  <c r="L17" i="1"/>
  <c r="J17" i="1"/>
  <c r="O17" i="1"/>
  <c r="G17" i="1"/>
  <c r="F17" i="1"/>
  <c r="K17" i="1"/>
  <c r="T17" i="1"/>
  <c r="U17" i="1"/>
  <c r="P17" i="1"/>
  <c r="C17" i="1"/>
  <c r="I17" i="1"/>
  <c r="R17" i="1"/>
  <c r="M17" i="1"/>
  <c r="Q17" i="1"/>
  <c r="D17" i="1"/>
  <c r="H17" i="1"/>
  <c r="B17" i="1"/>
  <c r="A18" i="1"/>
  <c r="B18" i="1" a="1"/>
  <c r="L18" i="1" a="1"/>
  <c r="H18" i="1" a="1"/>
  <c r="G18" i="1" a="1"/>
  <c r="Q18" i="1" a="1"/>
  <c r="C18" i="1" a="1"/>
  <c r="U18" i="1" a="1"/>
  <c r="K18" i="1" a="1"/>
  <c r="M18" i="1" a="1"/>
  <c r="D18" i="1" a="1"/>
  <c r="O18" i="1" a="1"/>
  <c r="F18" i="1" a="1"/>
  <c r="T18" i="1" a="1"/>
  <c r="S18" i="1" a="1"/>
  <c r="J18" i="1" a="1"/>
  <c r="N18" i="1" a="1"/>
  <c r="E18" i="1" a="1"/>
  <c r="P18" i="1" a="1"/>
  <c r="R18" i="1" a="1"/>
  <c r="I18" i="1" a="1"/>
  <c r="I18" i="1" l="1"/>
  <c r="R18" i="1"/>
  <c r="P18" i="1"/>
  <c r="E18" i="1"/>
  <c r="N18" i="1"/>
  <c r="J18" i="1"/>
  <c r="S18" i="1"/>
  <c r="T18" i="1"/>
  <c r="F18" i="1"/>
  <c r="O18" i="1"/>
  <c r="D18" i="1"/>
  <c r="M18" i="1"/>
  <c r="K18" i="1"/>
  <c r="U18" i="1"/>
  <c r="C18" i="1"/>
  <c r="Q18" i="1"/>
  <c r="G18" i="1"/>
  <c r="H18" i="1"/>
  <c r="L18" i="1"/>
  <c r="B18" i="1"/>
  <c r="A19" i="1"/>
  <c r="B19" i="1" a="1"/>
  <c r="K19" i="1" a="1"/>
  <c r="G19" i="1" a="1"/>
  <c r="T19" i="1" a="1"/>
  <c r="P19" i="1" a="1"/>
  <c r="U19" i="1" a="1"/>
  <c r="Q19" i="1" a="1"/>
  <c r="L19" i="1" a="1"/>
  <c r="C19" i="1" a="1"/>
  <c r="S19" i="1" a="1"/>
  <c r="O19" i="1" a="1"/>
  <c r="N19" i="1" a="1"/>
  <c r="E19" i="1" a="1"/>
  <c r="F19" i="1" a="1"/>
  <c r="R19" i="1" a="1"/>
  <c r="I19" i="1" a="1"/>
  <c r="D19" i="1" a="1"/>
  <c r="J19" i="1" a="1"/>
  <c r="M19" i="1" a="1"/>
  <c r="H19" i="1" a="1"/>
  <c r="H19" i="1" l="1"/>
  <c r="M19" i="1"/>
  <c r="J19" i="1"/>
  <c r="D19" i="1"/>
  <c r="I19" i="1"/>
  <c r="R19" i="1"/>
  <c r="F19" i="1"/>
  <c r="E19" i="1"/>
  <c r="N19" i="1"/>
  <c r="O19" i="1"/>
  <c r="S19" i="1"/>
  <c r="C19" i="1"/>
  <c r="L19" i="1"/>
  <c r="Q19" i="1"/>
  <c r="U19" i="1"/>
  <c r="P19" i="1"/>
  <c r="T19" i="1"/>
  <c r="G19" i="1"/>
  <c r="K19" i="1"/>
  <c r="B19" i="1"/>
  <c r="A20" i="1"/>
  <c r="B20" i="1" a="1"/>
  <c r="T20" i="1" a="1"/>
  <c r="F20" i="1" a="1"/>
  <c r="O20" i="1" a="1"/>
  <c r="K20" i="1" a="1"/>
  <c r="P20" i="1" a="1"/>
  <c r="G20" i="1" a="1"/>
  <c r="S20" i="1" a="1"/>
  <c r="R20" i="1" a="1"/>
  <c r="M20" i="1" a="1"/>
  <c r="D20" i="1" a="1"/>
  <c r="J20" i="1" a="1"/>
  <c r="I20" i="1" a="1"/>
  <c r="Q20" i="1" a="1"/>
  <c r="H20" i="1" a="1"/>
  <c r="E20" i="1" a="1"/>
  <c r="N20" i="1" a="1"/>
  <c r="U20" i="1" a="1"/>
  <c r="L20" i="1" a="1"/>
  <c r="C20" i="1" a="1"/>
  <c r="C20" i="1" l="1"/>
  <c r="L20" i="1"/>
  <c r="U20" i="1"/>
  <c r="N20" i="1"/>
  <c r="E20" i="1"/>
  <c r="H20" i="1"/>
  <c r="Q20" i="1"/>
  <c r="I20" i="1"/>
  <c r="J20" i="1"/>
  <c r="D20" i="1"/>
  <c r="M20" i="1"/>
  <c r="R20" i="1"/>
  <c r="S20" i="1"/>
  <c r="G20" i="1"/>
  <c r="P20" i="1"/>
  <c r="K20" i="1"/>
  <c r="O20" i="1"/>
  <c r="F20" i="1"/>
  <c r="T20" i="1"/>
  <c r="B20" i="1"/>
  <c r="A21" i="1"/>
  <c r="B21" i="1" a="1"/>
  <c r="E21" i="1" a="1"/>
  <c r="O21" i="1" a="1"/>
  <c r="N21" i="1" a="1"/>
  <c r="S21" i="1" a="1"/>
  <c r="J21" i="1" a="1"/>
  <c r="I21" i="1" a="1"/>
  <c r="T21" i="1" a="1"/>
  <c r="K21" i="1" a="1"/>
  <c r="F21" i="1" a="1"/>
  <c r="M21" i="1" a="1"/>
  <c r="D21" i="1" a="1"/>
  <c r="Q21" i="1" a="1"/>
  <c r="H21" i="1" a="1"/>
  <c r="R21" i="1" a="1"/>
  <c r="U21" i="1" a="1"/>
  <c r="L21" i="1" a="1"/>
  <c r="C21" i="1" a="1"/>
  <c r="P21" i="1" a="1"/>
  <c r="G21" i="1" a="1"/>
  <c r="G21" i="1" l="1"/>
  <c r="P21" i="1"/>
  <c r="C21" i="1"/>
  <c r="L21" i="1"/>
  <c r="U21" i="1"/>
  <c r="R21" i="1"/>
  <c r="H21" i="1"/>
  <c r="Q21" i="1"/>
  <c r="D21" i="1"/>
  <c r="M21" i="1"/>
  <c r="F21" i="1"/>
  <c r="K21" i="1"/>
  <c r="T21" i="1"/>
  <c r="I21" i="1"/>
  <c r="J21" i="1"/>
  <c r="S21" i="1"/>
  <c r="N21" i="1"/>
  <c r="O21" i="1"/>
  <c r="E21" i="1"/>
  <c r="B21" i="1"/>
  <c r="A22" i="1"/>
  <c r="B22" i="1" a="1"/>
  <c r="I22" i="1" a="1"/>
  <c r="E22" i="1" a="1"/>
  <c r="N22" i="1" a="1"/>
  <c r="R22" i="1" a="1"/>
  <c r="S22" i="1" a="1"/>
  <c r="J22" i="1" a="1"/>
  <c r="M22" i="1" a="1"/>
  <c r="D22" i="1" a="1"/>
  <c r="U22" i="1" a="1"/>
  <c r="L22" i="1" a="1"/>
  <c r="G22" i="1" a="1"/>
  <c r="Q22" i="1" a="1"/>
  <c r="C22" i="1" a="1"/>
  <c r="P22" i="1" a="1"/>
  <c r="K22" i="1" a="1"/>
  <c r="H22" i="1" a="1"/>
  <c r="T22" i="1" a="1"/>
  <c r="O22" i="1" a="1"/>
  <c r="F22" i="1" a="1"/>
  <c r="F22" i="1" l="1"/>
  <c r="O22" i="1"/>
  <c r="T22" i="1"/>
  <c r="H22" i="1"/>
  <c r="K22" i="1"/>
  <c r="P22" i="1"/>
  <c r="C22" i="1"/>
  <c r="Q22" i="1"/>
  <c r="G22" i="1"/>
  <c r="L22" i="1"/>
  <c r="U22" i="1"/>
  <c r="D22" i="1"/>
  <c r="M22" i="1"/>
  <c r="J22" i="1"/>
  <c r="S22" i="1"/>
  <c r="R22" i="1"/>
  <c r="N22" i="1"/>
  <c r="E22" i="1"/>
  <c r="I22" i="1"/>
  <c r="B22" i="1"/>
  <c r="A23" i="1"/>
  <c r="B23" i="1" a="1"/>
  <c r="H23" i="1" a="1"/>
  <c r="D23" i="1" a="1"/>
  <c r="M23" i="1" a="1"/>
  <c r="R23" i="1" a="1"/>
  <c r="I23" i="1" a="1"/>
  <c r="Q23" i="1" a="1"/>
  <c r="N23" i="1" a="1"/>
  <c r="E23" i="1" a="1"/>
  <c r="P23" i="1" a="1"/>
  <c r="L23" i="1" a="1"/>
  <c r="G23" i="1" a="1"/>
  <c r="T23" i="1" a="1"/>
  <c r="K23" i="1" a="1"/>
  <c r="C23" i="1" a="1"/>
  <c r="O23" i="1" a="1"/>
  <c r="F23" i="1" a="1"/>
  <c r="U23" i="1" a="1"/>
  <c r="S23" i="1" a="1"/>
  <c r="J23" i="1" a="1"/>
  <c r="J23" i="1" l="1"/>
  <c r="S23" i="1"/>
  <c r="U23" i="1"/>
  <c r="F23" i="1"/>
  <c r="O23" i="1"/>
  <c r="C23" i="1"/>
  <c r="K23" i="1"/>
  <c r="T23" i="1"/>
  <c r="G23" i="1"/>
  <c r="L23" i="1"/>
  <c r="P23" i="1"/>
  <c r="E23" i="1"/>
  <c r="N23" i="1"/>
  <c r="Q23" i="1"/>
  <c r="I23" i="1"/>
  <c r="R23" i="1"/>
  <c r="M23" i="1"/>
  <c r="D23" i="1"/>
  <c r="H23" i="1"/>
  <c r="B23" i="1"/>
  <c r="A24" i="1"/>
  <c r="B24" i="1" a="1"/>
  <c r="S24" i="1" a="1"/>
  <c r="F24" i="1" a="1"/>
  <c r="C24" i="1" a="1"/>
  <c r="K24" i="1" a="1"/>
  <c r="O24" i="1" a="1"/>
  <c r="G24" i="1" a="1"/>
  <c r="J24" i="1" a="1"/>
  <c r="R24" i="1" a="1"/>
  <c r="U24" i="1" a="1"/>
  <c r="Q24" i="1" a="1"/>
  <c r="M24" i="1" a="1"/>
  <c r="I24" i="1" a="1"/>
  <c r="E24" i="1" a="1"/>
  <c r="N24" i="1" a="1"/>
  <c r="T24" i="1" a="1"/>
  <c r="P24" i="1" a="1"/>
  <c r="L24" i="1" a="1"/>
  <c r="H24" i="1" a="1"/>
  <c r="D24" i="1" a="1"/>
  <c r="D24" i="1" l="1"/>
  <c r="H24" i="1"/>
  <c r="L24" i="1"/>
  <c r="P24" i="1"/>
  <c r="T24" i="1"/>
  <c r="N24" i="1"/>
  <c r="E24" i="1"/>
  <c r="I24" i="1"/>
  <c r="M24" i="1"/>
  <c r="Q24" i="1"/>
  <c r="U24" i="1"/>
  <c r="R24" i="1"/>
  <c r="J24" i="1"/>
  <c r="G24" i="1"/>
  <c r="O24" i="1"/>
  <c r="K24" i="1"/>
  <c r="C24" i="1"/>
  <c r="F24" i="1"/>
  <c r="S24" i="1"/>
  <c r="B24" i="1"/>
  <c r="A25" i="1"/>
  <c r="B25" i="1" a="1"/>
  <c r="S25" i="1" a="1"/>
  <c r="K25" i="1" a="1"/>
  <c r="T25" i="1" a="1"/>
  <c r="H25" i="1" a="1"/>
  <c r="D25" i="1" a="1"/>
  <c r="P25" i="1" a="1"/>
  <c r="O25" i="1" a="1"/>
  <c r="G25" i="1" a="1"/>
  <c r="L25" i="1" a="1"/>
  <c r="C25" i="1" a="1"/>
  <c r="R25" i="1" a="1"/>
  <c r="N25" i="1" a="1"/>
  <c r="J25" i="1" a="1"/>
  <c r="F25" i="1" a="1"/>
  <c r="U25" i="1" a="1"/>
  <c r="Q25" i="1" a="1"/>
  <c r="M25" i="1" a="1"/>
  <c r="I25" i="1" a="1"/>
  <c r="E25" i="1" a="1"/>
  <c r="E25" i="1" l="1"/>
  <c r="I25" i="1"/>
  <c r="M25" i="1"/>
  <c r="Q25" i="1"/>
  <c r="U25" i="1"/>
  <c r="F25" i="1"/>
  <c r="J25" i="1"/>
  <c r="N25" i="1"/>
  <c r="R25" i="1"/>
  <c r="C25" i="1"/>
  <c r="L25" i="1"/>
  <c r="G25" i="1"/>
  <c r="O25" i="1"/>
  <c r="P25" i="1"/>
  <c r="D25" i="1"/>
  <c r="H25" i="1"/>
  <c r="T25" i="1"/>
  <c r="K25" i="1"/>
  <c r="S25" i="1"/>
  <c r="B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<sst xmlns="http://schemas.openxmlformats.org/spreadsheetml/2006/main" count="20" uniqueCount="15">
  <si>
    <t>Newton</t>
  </si>
  <si>
    <t>Wallis</t>
  </si>
  <si>
    <t>Leibniz</t>
  </si>
  <si>
    <t>Viet</t>
  </si>
  <si>
    <t>dx</t>
  </si>
  <si>
    <t>dy</t>
  </si>
  <si>
    <t>ax</t>
  </si>
  <si>
    <t>bx</t>
  </si>
  <si>
    <t>ay</t>
  </si>
  <si>
    <t>by</t>
  </si>
  <si>
    <t>an</t>
  </si>
  <si>
    <t>Kolumna1</t>
  </si>
  <si>
    <t>różnica</t>
  </si>
  <si>
    <t>zatem najlepsze jest przybliżenie Newtona</t>
  </si>
  <si>
    <t>min rożnica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</si>
</sst>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f(x,y)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Arkusz1!$A$6</c:f>
              <c:strCache>
                <c:ptCount val="1"/>
                <c:pt idx="0">
                  <c:v>-10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Arkusz1!$B$6:$U$6</c:f>
              <c:numCache>
                <c:formatCode>General</c:formatCode>
                <c:ptCount val="20"/>
                <c:pt idx="0">
                  <c:v>7.0213322112723839E-2</c:v>
                </c:pt>
                <c:pt idx="1">
                  <c:v>5.7205371312972299E-2</c:v>
                </c:pt>
                <c:pt idx="2">
                  <c:v>1.8408446605443881E-2</c:v>
                </c:pt>
                <c:pt idx="3">
                  <c:v>-2.8610855550739372E-2</c:v>
                </c:pt>
                <c:pt idx="4">
                  <c:v>-6.6834053613210723E-2</c:v>
                </c:pt>
                <c:pt idx="5">
                  <c:v>-8.7140932853959532E-2</c:v>
                </c:pt>
                <c:pt idx="6">
                  <c:v>-8.9669727074617581E-2</c:v>
                </c:pt>
                <c:pt idx="7">
                  <c:v>-8.0619980539883049E-2</c:v>
                </c:pt>
                <c:pt idx="8">
                  <c:v>-6.7825795325476418E-2</c:v>
                </c:pt>
                <c:pt idx="9">
                  <c:v>-5.7653560589034113E-2</c:v>
                </c:pt>
                <c:pt idx="10">
                  <c:v>-5.3863476325680178E-2</c:v>
                </c:pt>
                <c:pt idx="11">
                  <c:v>-5.7653560589034113E-2</c:v>
                </c:pt>
                <c:pt idx="12">
                  <c:v>-6.7825795325476418E-2</c:v>
                </c:pt>
                <c:pt idx="13">
                  <c:v>-8.0619980539883049E-2</c:v>
                </c:pt>
                <c:pt idx="14">
                  <c:v>-8.9669727074617581E-2</c:v>
                </c:pt>
                <c:pt idx="15">
                  <c:v>-8.7140932853959532E-2</c:v>
                </c:pt>
                <c:pt idx="16">
                  <c:v>-6.6834053613210723E-2</c:v>
                </c:pt>
                <c:pt idx="17">
                  <c:v>-2.8610855550739372E-2</c:v>
                </c:pt>
                <c:pt idx="18">
                  <c:v>1.8408446605443881E-2</c:v>
                </c:pt>
                <c:pt idx="19">
                  <c:v>5.7205371312972299E-2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7-2146-A122-C8AC4F1CB548}"/>
            </c:ext>
          </c:extLst>
        </c:ser>
        <c:ser>
          <c:idx val="1"/>
          <c:order val="1"/>
          <c:tx>
            <c:strRef>
              <c:f>Arkusz1!$A$7</c:f>
              <c:strCache>
                <c:ptCount val="1"/>
                <c:pt idx="0">
                  <c:v>-9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Arkusz1!$B$7:$U$7</c:f>
              <c:numCache>
                <c:formatCode>General</c:formatCode>
                <c:ptCount val="20"/>
                <c:pt idx="0">
                  <c:v>5.7205371312972299E-2</c:v>
                </c:pt>
                <c:pt idx="1">
                  <c:v>1.2539025751622282E-2</c:v>
                </c:pt>
                <c:pt idx="2">
                  <c:v>-4.1264694440881371E-2</c:v>
                </c:pt>
                <c:pt idx="3">
                  <c:v>-7.9869279908175841E-2</c:v>
                </c:pt>
                <c:pt idx="4">
                  <c:v>-9.014084393330625E-2</c:v>
                </c:pt>
                <c:pt idx="5">
                  <c:v>-7.3576893125370316E-2</c:v>
                </c:pt>
                <c:pt idx="6">
                  <c:v>-4.1359753555614609E-2</c:v>
                </c:pt>
                <c:pt idx="7">
                  <c:v>-6.4687890520678743E-3</c:v>
                </c:pt>
                <c:pt idx="8">
                  <c:v>2.1867567608111083E-2</c:v>
                </c:pt>
                <c:pt idx="9">
                  <c:v>3.9435727916519343E-2</c:v>
                </c:pt>
                <c:pt idx="10">
                  <c:v>4.5287745630962266E-2</c:v>
                </c:pt>
                <c:pt idx="11">
                  <c:v>3.9435727916519343E-2</c:v>
                </c:pt>
                <c:pt idx="12">
                  <c:v>2.1867567608111083E-2</c:v>
                </c:pt>
                <c:pt idx="13">
                  <c:v>-6.4687890520678743E-3</c:v>
                </c:pt>
                <c:pt idx="14">
                  <c:v>-4.1359753555614609E-2</c:v>
                </c:pt>
                <c:pt idx="15">
                  <c:v>-7.3576893125370316E-2</c:v>
                </c:pt>
                <c:pt idx="16">
                  <c:v>-9.014084393330625E-2</c:v>
                </c:pt>
                <c:pt idx="17">
                  <c:v>-7.9869279908175841E-2</c:v>
                </c:pt>
                <c:pt idx="18">
                  <c:v>-4.1264694440881371E-2</c:v>
                </c:pt>
                <c:pt idx="19">
                  <c:v>1.2539025751622282E-2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7-2146-A122-C8AC4F1CB548}"/>
            </c:ext>
          </c:extLst>
        </c:ser>
        <c:ser>
          <c:idx val="2"/>
          <c:order val="2"/>
          <c:tx>
            <c:strRef>
              <c:f>Arkusz1!$A$8</c:f>
              <c:strCache>
                <c:ptCount val="1"/>
                <c:pt idx="0">
                  <c:v>-8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Arkusz1!$B$8:$U$8</c:f>
              <c:numCache>
                <c:formatCode>General</c:formatCode>
                <c:ptCount val="20"/>
                <c:pt idx="0">
                  <c:v>1.8408446605443881E-2</c:v>
                </c:pt>
                <c:pt idx="1">
                  <c:v>-4.1264694440881371E-2</c:v>
                </c:pt>
                <c:pt idx="2">
                  <c:v>-8.3217534449881794E-2</c:v>
                </c:pt>
                <c:pt idx="3">
                  <c:v>-8.7041755809558863E-2</c:v>
                </c:pt>
                <c:pt idx="4">
                  <c:v>-5.3863476325680178E-2</c:v>
                </c:pt>
                <c:pt idx="5">
                  <c:v>-9.6528839785945048E-4</c:v>
                </c:pt>
                <c:pt idx="6">
                  <c:v>5.1107262746848695E-2</c:v>
                </c:pt>
                <c:pt idx="7">
                  <c:v>8.9221611054293132E-2</c:v>
                </c:pt>
                <c:pt idx="8">
                  <c:v>0.11071599545486101</c:v>
                </c:pt>
                <c:pt idx="9">
                  <c:v>0.11986742547288094</c:v>
                </c:pt>
                <c:pt idx="10">
                  <c:v>0.12214299341029405</c:v>
                </c:pt>
                <c:pt idx="11">
                  <c:v>0.11986742547288094</c:v>
                </c:pt>
                <c:pt idx="12">
                  <c:v>0.11071599545486101</c:v>
                </c:pt>
                <c:pt idx="13">
                  <c:v>8.9221611054293132E-2</c:v>
                </c:pt>
                <c:pt idx="14">
                  <c:v>5.1107262746848695E-2</c:v>
                </c:pt>
                <c:pt idx="15">
                  <c:v>-9.6528839785945048E-4</c:v>
                </c:pt>
                <c:pt idx="16">
                  <c:v>-5.3863476325680178E-2</c:v>
                </c:pt>
                <c:pt idx="17">
                  <c:v>-8.7041755809558863E-2</c:v>
                </c:pt>
                <c:pt idx="18">
                  <c:v>-8.3217534449881794E-2</c:v>
                </c:pt>
                <c:pt idx="19">
                  <c:v>-4.1264694440881371E-2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7-2146-A122-C8AC4F1CB548}"/>
            </c:ext>
          </c:extLst>
        </c:ser>
        <c:ser>
          <c:idx val="3"/>
          <c:order val="3"/>
          <c:tx>
            <c:strRef>
              <c:f>Arkusz1!$A$9</c:f>
              <c:strCache>
                <c:ptCount val="1"/>
                <c:pt idx="0">
                  <c:v>-7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Arkusz1!$B$9:$U$9</c:f>
              <c:numCache>
                <c:formatCode>General</c:formatCode>
                <c:ptCount val="20"/>
                <c:pt idx="0">
                  <c:v>-2.8610855550739372E-2</c:v>
                </c:pt>
                <c:pt idx="1">
                  <c:v>-7.9869279908175841E-2</c:v>
                </c:pt>
                <c:pt idx="2">
                  <c:v>-8.7041755809558863E-2</c:v>
                </c:pt>
                <c:pt idx="3">
                  <c:v>-4.5710982448548022E-2</c:v>
                </c:pt>
                <c:pt idx="4">
                  <c:v>2.1867567608111083E-2</c:v>
                </c:pt>
                <c:pt idx="5">
                  <c:v>8.4209321768477521E-2</c:v>
                </c:pt>
                <c:pt idx="6">
                  <c:v>0.11986742547288094</c:v>
                </c:pt>
                <c:pt idx="7">
                  <c:v>0.12594489757185887</c:v>
                </c:pt>
                <c:pt idx="8">
                  <c:v>0.11379306883619703</c:v>
                </c:pt>
                <c:pt idx="9">
                  <c:v>9.8850172726736366E-2</c:v>
                </c:pt>
                <c:pt idx="10">
                  <c:v>9.2533323763209732E-2</c:v>
                </c:pt>
                <c:pt idx="11">
                  <c:v>9.8850172726736366E-2</c:v>
                </c:pt>
                <c:pt idx="12">
                  <c:v>0.11379306883619703</c:v>
                </c:pt>
                <c:pt idx="13">
                  <c:v>0.12594489757185887</c:v>
                </c:pt>
                <c:pt idx="14">
                  <c:v>0.11986742547288094</c:v>
                </c:pt>
                <c:pt idx="15">
                  <c:v>8.4209321768477521E-2</c:v>
                </c:pt>
                <c:pt idx="16">
                  <c:v>2.1867567608111083E-2</c:v>
                </c:pt>
                <c:pt idx="17">
                  <c:v>-4.5710982448548022E-2</c:v>
                </c:pt>
                <c:pt idx="18">
                  <c:v>-8.7041755809558863E-2</c:v>
                </c:pt>
                <c:pt idx="19">
                  <c:v>-7.9869279908175841E-2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7-2146-A122-C8AC4F1CB548}"/>
            </c:ext>
          </c:extLst>
        </c:ser>
        <c:ser>
          <c:idx val="4"/>
          <c:order val="4"/>
          <c:tx>
            <c:strRef>
              <c:f>Arkusz1!$A$10</c:f>
              <c:strCache>
                <c:ptCount val="1"/>
                <c:pt idx="0">
                  <c:v>-6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Arkusz1!$B$10:$U$10</c:f>
              <c:numCache>
                <c:formatCode>General</c:formatCode>
                <c:ptCount val="20"/>
                <c:pt idx="0">
                  <c:v>-6.6834053613210723E-2</c:v>
                </c:pt>
                <c:pt idx="1">
                  <c:v>-9.014084393330625E-2</c:v>
                </c:pt>
                <c:pt idx="2">
                  <c:v>-5.3863476325680178E-2</c:v>
                </c:pt>
                <c:pt idx="3">
                  <c:v>2.1867567608111083E-2</c:v>
                </c:pt>
                <c:pt idx="4">
                  <c:v>9.402849547557561E-2</c:v>
                </c:pt>
                <c:pt idx="5">
                  <c:v>0.12629739278076232</c:v>
                </c:pt>
                <c:pt idx="6">
                  <c:v>0.1094736471116801</c:v>
                </c:pt>
                <c:pt idx="7">
                  <c:v>6.0564835329230252E-2</c:v>
                </c:pt>
                <c:pt idx="8">
                  <c:v>6.4375215809187062E-3</c:v>
                </c:pt>
                <c:pt idx="9">
                  <c:v>-3.2199791200669042E-2</c:v>
                </c:pt>
                <c:pt idx="10">
                  <c:v>-4.5805819376873093E-2</c:v>
                </c:pt>
                <c:pt idx="11">
                  <c:v>-3.2199791200669042E-2</c:v>
                </c:pt>
                <c:pt idx="12">
                  <c:v>6.4375215809187062E-3</c:v>
                </c:pt>
                <c:pt idx="13">
                  <c:v>6.0564835329230252E-2</c:v>
                </c:pt>
                <c:pt idx="14">
                  <c:v>0.1094736471116801</c:v>
                </c:pt>
                <c:pt idx="15">
                  <c:v>0.12629739278076232</c:v>
                </c:pt>
                <c:pt idx="16">
                  <c:v>9.402849547557561E-2</c:v>
                </c:pt>
                <c:pt idx="17">
                  <c:v>2.1867567608111083E-2</c:v>
                </c:pt>
                <c:pt idx="18">
                  <c:v>-5.3863476325680178E-2</c:v>
                </c:pt>
                <c:pt idx="19">
                  <c:v>-9.014084393330625E-2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A7-2146-A122-C8AC4F1CB548}"/>
            </c:ext>
          </c:extLst>
        </c:ser>
        <c:ser>
          <c:idx val="5"/>
          <c:order val="5"/>
          <c:tx>
            <c:strRef>
              <c:f>Arkusz1!$A$11</c:f>
              <c:strCache>
                <c:ptCount val="1"/>
                <c:pt idx="0">
                  <c:v>-5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Arkusz1!$B$11:$U$11</c:f>
              <c:numCache>
                <c:formatCode>General</c:formatCode>
                <c:ptCount val="20"/>
                <c:pt idx="0">
                  <c:v>-8.7140932853959532E-2</c:v>
                </c:pt>
                <c:pt idx="1">
                  <c:v>-7.3576893125370316E-2</c:v>
                </c:pt>
                <c:pt idx="2">
                  <c:v>-9.6528839785945048E-4</c:v>
                </c:pt>
                <c:pt idx="3">
                  <c:v>8.4209321768477521E-2</c:v>
                </c:pt>
                <c:pt idx="4">
                  <c:v>0.12629739278076232</c:v>
                </c:pt>
                <c:pt idx="5">
                  <c:v>9.8850172726736366E-2</c:v>
                </c:pt>
                <c:pt idx="6">
                  <c:v>1.8399091286775922E-2</c:v>
                </c:pt>
                <c:pt idx="7">
                  <c:v>-7.3677130588744283E-2</c:v>
                </c:pt>
                <c:pt idx="8">
                  <c:v>-0.14258366454335114</c:v>
                </c:pt>
                <c:pt idx="9">
                  <c:v>-0.17814605943836345</c:v>
                </c:pt>
                <c:pt idx="10">
                  <c:v>-0.18802436758100755</c:v>
                </c:pt>
                <c:pt idx="11">
                  <c:v>-0.17814605943836345</c:v>
                </c:pt>
                <c:pt idx="12">
                  <c:v>-0.14258366454335114</c:v>
                </c:pt>
                <c:pt idx="13">
                  <c:v>-7.3677130588744283E-2</c:v>
                </c:pt>
                <c:pt idx="14">
                  <c:v>1.8399091286775922E-2</c:v>
                </c:pt>
                <c:pt idx="15">
                  <c:v>9.8850172726736366E-2</c:v>
                </c:pt>
                <c:pt idx="16">
                  <c:v>0.12629739278076232</c:v>
                </c:pt>
                <c:pt idx="17">
                  <c:v>8.4209321768477521E-2</c:v>
                </c:pt>
                <c:pt idx="18">
                  <c:v>-9.6528839785945048E-4</c:v>
                </c:pt>
                <c:pt idx="19">
                  <c:v>-7.3576893125370316E-2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A7-2146-A122-C8AC4F1CB548}"/>
            </c:ext>
          </c:extLst>
        </c:ser>
        <c:ser>
          <c:idx val="6"/>
          <c:order val="6"/>
          <c:tx>
            <c:strRef>
              <c:f>Arkusz1!$A$12</c:f>
              <c:strCache>
                <c:ptCount val="1"/>
                <c:pt idx="0">
                  <c:v>-4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Arkusz1!$B$12:$U$12</c:f>
              <c:numCache>
                <c:formatCode>General</c:formatCode>
                <c:ptCount val="20"/>
                <c:pt idx="0">
                  <c:v>-8.9669727074617581E-2</c:v>
                </c:pt>
                <c:pt idx="1">
                  <c:v>-4.1359753555614609E-2</c:v>
                </c:pt>
                <c:pt idx="2">
                  <c:v>5.1107262746848695E-2</c:v>
                </c:pt>
                <c:pt idx="3">
                  <c:v>0.11986742547288094</c:v>
                </c:pt>
                <c:pt idx="4">
                  <c:v>0.1094736471116801</c:v>
                </c:pt>
                <c:pt idx="5">
                  <c:v>1.8399091286775922E-2</c:v>
                </c:pt>
                <c:pt idx="6">
                  <c:v>-0.10182230912916722</c:v>
                </c:pt>
                <c:pt idx="7">
                  <c:v>-0.18802436758100755</c:v>
                </c:pt>
                <c:pt idx="8">
                  <c:v>-0.21243414642965108</c:v>
                </c:pt>
                <c:pt idx="9">
                  <c:v>-0.19685493398993939</c:v>
                </c:pt>
                <c:pt idx="10">
                  <c:v>-0.18458597446534838</c:v>
                </c:pt>
                <c:pt idx="11">
                  <c:v>-0.19685493398993939</c:v>
                </c:pt>
                <c:pt idx="12">
                  <c:v>-0.21243414642965108</c:v>
                </c:pt>
                <c:pt idx="13">
                  <c:v>-0.18802436758100755</c:v>
                </c:pt>
                <c:pt idx="14">
                  <c:v>-0.10182230912916722</c:v>
                </c:pt>
                <c:pt idx="15">
                  <c:v>1.8399091286775922E-2</c:v>
                </c:pt>
                <c:pt idx="16">
                  <c:v>0.1094736471116801</c:v>
                </c:pt>
                <c:pt idx="17">
                  <c:v>0.11986742547288094</c:v>
                </c:pt>
                <c:pt idx="18">
                  <c:v>5.1107262746848695E-2</c:v>
                </c:pt>
                <c:pt idx="19">
                  <c:v>-4.1359753555614609E-2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A7-2146-A122-C8AC4F1CB548}"/>
            </c:ext>
          </c:extLst>
        </c:ser>
        <c:ser>
          <c:idx val="7"/>
          <c:order val="7"/>
          <c:tx>
            <c:strRef>
              <c:f>Arkusz1!$A$13</c:f>
              <c:strCache>
                <c:ptCount val="1"/>
                <c:pt idx="0">
                  <c:v>-3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Arkusz1!$B$13:$U$13</c:f>
              <c:numCache>
                <c:formatCode>General</c:formatCode>
                <c:ptCount val="20"/>
                <c:pt idx="0">
                  <c:v>-8.0619980539883049E-2</c:v>
                </c:pt>
                <c:pt idx="1">
                  <c:v>-6.4687890520678743E-3</c:v>
                </c:pt>
                <c:pt idx="2">
                  <c:v>8.9221611054293132E-2</c:v>
                </c:pt>
                <c:pt idx="3">
                  <c:v>0.12594489757185887</c:v>
                </c:pt>
                <c:pt idx="4">
                  <c:v>6.0564835329230252E-2</c:v>
                </c:pt>
                <c:pt idx="5">
                  <c:v>-7.3677130588744283E-2</c:v>
                </c:pt>
                <c:pt idx="6">
                  <c:v>-0.18802436758100755</c:v>
                </c:pt>
                <c:pt idx="7">
                  <c:v>-0.20533180585807073</c:v>
                </c:pt>
                <c:pt idx="8">
                  <c:v>-0.12076253139443824</c:v>
                </c:pt>
                <c:pt idx="9">
                  <c:v>-6.3402118655083838E-3</c:v>
                </c:pt>
                <c:pt idx="10">
                  <c:v>4.5522583245118452E-2</c:v>
                </c:pt>
                <c:pt idx="11">
                  <c:v>-6.3402118655083838E-3</c:v>
                </c:pt>
                <c:pt idx="12">
                  <c:v>-0.12076253139443824</c:v>
                </c:pt>
                <c:pt idx="13">
                  <c:v>-0.20533180585807073</c:v>
                </c:pt>
                <c:pt idx="14">
                  <c:v>-0.18802436758100755</c:v>
                </c:pt>
                <c:pt idx="15">
                  <c:v>-7.3677130588744283E-2</c:v>
                </c:pt>
                <c:pt idx="16">
                  <c:v>6.0564835329230252E-2</c:v>
                </c:pt>
                <c:pt idx="17">
                  <c:v>0.12594489757185887</c:v>
                </c:pt>
                <c:pt idx="18">
                  <c:v>8.9221611054293132E-2</c:v>
                </c:pt>
                <c:pt idx="19">
                  <c:v>-6.4687890520678743E-3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A7-2146-A122-C8AC4F1CB548}"/>
            </c:ext>
          </c:extLst>
        </c:ser>
        <c:ser>
          <c:idx val="8"/>
          <c:order val="8"/>
          <c:tx>
            <c:strRef>
              <c:f>Arkusz1!$A$14</c:f>
              <c:strCache>
                <c:ptCount val="1"/>
                <c:pt idx="0">
                  <c:v>-2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Arkusz1!$B$14:$U$14</c:f>
              <c:numCache>
                <c:formatCode>General</c:formatCode>
                <c:ptCount val="20"/>
                <c:pt idx="0">
                  <c:v>-6.7825795325476418E-2</c:v>
                </c:pt>
                <c:pt idx="1">
                  <c:v>2.1867567608111083E-2</c:v>
                </c:pt>
                <c:pt idx="2">
                  <c:v>0.11071599545486101</c:v>
                </c:pt>
                <c:pt idx="3">
                  <c:v>0.11379306883619703</c:v>
                </c:pt>
                <c:pt idx="4">
                  <c:v>6.4375215809187062E-3</c:v>
                </c:pt>
                <c:pt idx="5">
                  <c:v>-0.14258366454335114</c:v>
                </c:pt>
                <c:pt idx="6">
                  <c:v>-0.21243414642965108</c:v>
                </c:pt>
                <c:pt idx="7">
                  <c:v>-0.12076253139443824</c:v>
                </c:pt>
                <c:pt idx="8">
                  <c:v>0.10520041279488754</c:v>
                </c:pt>
                <c:pt idx="9">
                  <c:v>0.33678349222921306</c:v>
                </c:pt>
                <c:pt idx="10">
                  <c:v>0.43299877467889603</c:v>
                </c:pt>
                <c:pt idx="11">
                  <c:v>0.33678349222921306</c:v>
                </c:pt>
                <c:pt idx="12">
                  <c:v>0.10520041279488754</c:v>
                </c:pt>
                <c:pt idx="13">
                  <c:v>-0.12076253139443824</c:v>
                </c:pt>
                <c:pt idx="14">
                  <c:v>-0.21243414642965108</c:v>
                </c:pt>
                <c:pt idx="15">
                  <c:v>-0.14258366454335114</c:v>
                </c:pt>
                <c:pt idx="16">
                  <c:v>6.4375215809187062E-3</c:v>
                </c:pt>
                <c:pt idx="17">
                  <c:v>0.11379306883619703</c:v>
                </c:pt>
                <c:pt idx="18">
                  <c:v>0.11071599545486101</c:v>
                </c:pt>
                <c:pt idx="19">
                  <c:v>2.1867567608111083E-2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A7-2146-A122-C8AC4F1CB548}"/>
            </c:ext>
          </c:extLst>
        </c:ser>
        <c:ser>
          <c:idx val="9"/>
          <c:order val="9"/>
          <c:tx>
            <c:strRef>
              <c:f>Arkusz1!$A$15</c:f>
              <c:strCache>
                <c:ptCount val="1"/>
                <c:pt idx="0">
                  <c:v>-1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Arkusz1!$B$15:$U$15</c:f>
              <c:numCache>
                <c:formatCode>General</c:formatCode>
                <c:ptCount val="20"/>
                <c:pt idx="0">
                  <c:v>-5.7653560589034113E-2</c:v>
                </c:pt>
                <c:pt idx="1">
                  <c:v>3.9435727916519343E-2</c:v>
                </c:pt>
                <c:pt idx="2">
                  <c:v>0.11986742547288094</c:v>
                </c:pt>
                <c:pt idx="3">
                  <c:v>9.8850172726736366E-2</c:v>
                </c:pt>
                <c:pt idx="4">
                  <c:v>-3.2199791200669042E-2</c:v>
                </c:pt>
                <c:pt idx="5">
                  <c:v>-0.17814605943836345</c:v>
                </c:pt>
                <c:pt idx="6">
                  <c:v>-0.19685493398993939</c:v>
                </c:pt>
                <c:pt idx="7">
                  <c:v>-6.3402118655083838E-3</c:v>
                </c:pt>
                <c:pt idx="8">
                  <c:v>0.33678349222921306</c:v>
                </c:pt>
                <c:pt idx="9">
                  <c:v>0.65232934807735832</c:v>
                </c:pt>
                <c:pt idx="10">
                  <c:v>0.76497362255263313</c:v>
                </c:pt>
                <c:pt idx="11">
                  <c:v>0.65232934807735832</c:v>
                </c:pt>
                <c:pt idx="12">
                  <c:v>0.33678349222921306</c:v>
                </c:pt>
                <c:pt idx="13">
                  <c:v>-6.3402118655083838E-3</c:v>
                </c:pt>
                <c:pt idx="14">
                  <c:v>-0.19685493398993939</c:v>
                </c:pt>
                <c:pt idx="15">
                  <c:v>-0.17814605943836345</c:v>
                </c:pt>
                <c:pt idx="16">
                  <c:v>-3.2199791200669042E-2</c:v>
                </c:pt>
                <c:pt idx="17">
                  <c:v>9.8850172726736366E-2</c:v>
                </c:pt>
                <c:pt idx="18">
                  <c:v>0.11986742547288094</c:v>
                </c:pt>
                <c:pt idx="19">
                  <c:v>3.9435727916519343E-2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A7-2146-A122-C8AC4F1CB548}"/>
            </c:ext>
          </c:extLst>
        </c:ser>
        <c:ser>
          <c:idx val="10"/>
          <c:order val="10"/>
          <c:tx>
            <c:strRef>
              <c:f>Arkusz1!$A$16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Arkusz1!$B$16:$U$16</c:f>
              <c:numCache>
                <c:formatCode>General</c:formatCode>
                <c:ptCount val="20"/>
                <c:pt idx="0">
                  <c:v>-5.3863476325680178E-2</c:v>
                </c:pt>
                <c:pt idx="1">
                  <c:v>4.5287745630962266E-2</c:v>
                </c:pt>
                <c:pt idx="2">
                  <c:v>0.12214299341029405</c:v>
                </c:pt>
                <c:pt idx="3">
                  <c:v>9.2533323763209732E-2</c:v>
                </c:pt>
                <c:pt idx="4">
                  <c:v>-4.5805819376873093E-2</c:v>
                </c:pt>
                <c:pt idx="5">
                  <c:v>-0.18802436758100755</c:v>
                </c:pt>
                <c:pt idx="6">
                  <c:v>-0.18458597446534838</c:v>
                </c:pt>
                <c:pt idx="7">
                  <c:v>4.5522583245118452E-2</c:v>
                </c:pt>
                <c:pt idx="8">
                  <c:v>0.43299877467889603</c:v>
                </c:pt>
                <c:pt idx="9">
                  <c:v>0.76497362255263313</c:v>
                </c:pt>
                <c:pt idx="10">
                  <c:v>0</c:v>
                </c:pt>
                <c:pt idx="11">
                  <c:v>0.76497362255263313</c:v>
                </c:pt>
                <c:pt idx="12">
                  <c:v>0.43299877467889603</c:v>
                </c:pt>
                <c:pt idx="13">
                  <c:v>4.5522583245118452E-2</c:v>
                </c:pt>
                <c:pt idx="14">
                  <c:v>-0.18458597446534838</c:v>
                </c:pt>
                <c:pt idx="15">
                  <c:v>-0.18802436758100755</c:v>
                </c:pt>
                <c:pt idx="16">
                  <c:v>-4.5805819376873093E-2</c:v>
                </c:pt>
                <c:pt idx="17">
                  <c:v>9.2533323763209732E-2</c:v>
                </c:pt>
                <c:pt idx="18">
                  <c:v>0.12214299341029405</c:v>
                </c:pt>
                <c:pt idx="19">
                  <c:v>4.5287745630962266E-2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A7-2146-A122-C8AC4F1CB548}"/>
            </c:ext>
          </c:extLst>
        </c:ser>
        <c:ser>
          <c:idx val="11"/>
          <c:order val="11"/>
          <c:tx>
            <c:strRef>
              <c:f>Arkusz1!$A$17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Arkusz1!$B$17:$U$17</c:f>
              <c:numCache>
                <c:formatCode>General</c:formatCode>
                <c:ptCount val="20"/>
                <c:pt idx="0">
                  <c:v>-5.7653560589034113E-2</c:v>
                </c:pt>
                <c:pt idx="1">
                  <c:v>3.9435727916519343E-2</c:v>
                </c:pt>
                <c:pt idx="2">
                  <c:v>0.11986742547288094</c:v>
                </c:pt>
                <c:pt idx="3">
                  <c:v>9.8850172726736366E-2</c:v>
                </c:pt>
                <c:pt idx="4">
                  <c:v>-3.2199791200669042E-2</c:v>
                </c:pt>
                <c:pt idx="5">
                  <c:v>-0.17814605943836345</c:v>
                </c:pt>
                <c:pt idx="6">
                  <c:v>-0.19685493398993939</c:v>
                </c:pt>
                <c:pt idx="7">
                  <c:v>-6.3402118655083838E-3</c:v>
                </c:pt>
                <c:pt idx="8">
                  <c:v>0.33678349222921306</c:v>
                </c:pt>
                <c:pt idx="9">
                  <c:v>0.65232934807735832</c:v>
                </c:pt>
                <c:pt idx="10">
                  <c:v>0.76497362255263313</c:v>
                </c:pt>
                <c:pt idx="11">
                  <c:v>0.65232934807735832</c:v>
                </c:pt>
                <c:pt idx="12">
                  <c:v>0.33678349222921306</c:v>
                </c:pt>
                <c:pt idx="13">
                  <c:v>-6.3402118655083838E-3</c:v>
                </c:pt>
                <c:pt idx="14">
                  <c:v>-0.19685493398993939</c:v>
                </c:pt>
                <c:pt idx="15">
                  <c:v>-0.17814605943836345</c:v>
                </c:pt>
                <c:pt idx="16">
                  <c:v>-3.2199791200669042E-2</c:v>
                </c:pt>
                <c:pt idx="17">
                  <c:v>9.8850172726736366E-2</c:v>
                </c:pt>
                <c:pt idx="18">
                  <c:v>0.11986742547288094</c:v>
                </c:pt>
                <c:pt idx="19">
                  <c:v>3.9435727916519343E-2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EA7-2146-A122-C8AC4F1CB548}"/>
            </c:ext>
          </c:extLst>
        </c:ser>
        <c:ser>
          <c:idx val="12"/>
          <c:order val="12"/>
          <c:tx>
            <c:strRef>
              <c:f>Arkusz1!$A$18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Arkusz1!$B$18:$U$18</c:f>
              <c:numCache>
                <c:formatCode>General</c:formatCode>
                <c:ptCount val="20"/>
                <c:pt idx="0">
                  <c:v>-6.7825795325476418E-2</c:v>
                </c:pt>
                <c:pt idx="1">
                  <c:v>2.1867567608111083E-2</c:v>
                </c:pt>
                <c:pt idx="2">
                  <c:v>0.11071599545486101</c:v>
                </c:pt>
                <c:pt idx="3">
                  <c:v>0.11379306883619703</c:v>
                </c:pt>
                <c:pt idx="4">
                  <c:v>6.4375215809187062E-3</c:v>
                </c:pt>
                <c:pt idx="5">
                  <c:v>-0.14258366454335114</c:v>
                </c:pt>
                <c:pt idx="6">
                  <c:v>-0.21243414642965108</c:v>
                </c:pt>
                <c:pt idx="7">
                  <c:v>-0.12076253139443824</c:v>
                </c:pt>
                <c:pt idx="8">
                  <c:v>0.10520041279488754</c:v>
                </c:pt>
                <c:pt idx="9">
                  <c:v>0.33678349222921306</c:v>
                </c:pt>
                <c:pt idx="10">
                  <c:v>0.43299877467889603</c:v>
                </c:pt>
                <c:pt idx="11">
                  <c:v>0.33678349222921306</c:v>
                </c:pt>
                <c:pt idx="12">
                  <c:v>0.10520041279488754</c:v>
                </c:pt>
                <c:pt idx="13">
                  <c:v>-0.12076253139443824</c:v>
                </c:pt>
                <c:pt idx="14">
                  <c:v>-0.21243414642965108</c:v>
                </c:pt>
                <c:pt idx="15">
                  <c:v>-0.14258366454335114</c:v>
                </c:pt>
                <c:pt idx="16">
                  <c:v>6.4375215809187062E-3</c:v>
                </c:pt>
                <c:pt idx="17">
                  <c:v>0.11379306883619703</c:v>
                </c:pt>
                <c:pt idx="18">
                  <c:v>0.11071599545486101</c:v>
                </c:pt>
                <c:pt idx="19">
                  <c:v>2.1867567608111083E-2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A7-2146-A122-C8AC4F1CB548}"/>
            </c:ext>
          </c:extLst>
        </c:ser>
        <c:ser>
          <c:idx val="13"/>
          <c:order val="13"/>
          <c:tx>
            <c:strRef>
              <c:f>Arkusz1!$A$19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Arkusz1!$B$19:$U$19</c:f>
              <c:numCache>
                <c:formatCode>General</c:formatCode>
                <c:ptCount val="20"/>
                <c:pt idx="0">
                  <c:v>-8.0619980539883049E-2</c:v>
                </c:pt>
                <c:pt idx="1">
                  <c:v>-6.4687890520678743E-3</c:v>
                </c:pt>
                <c:pt idx="2">
                  <c:v>8.9221611054293132E-2</c:v>
                </c:pt>
                <c:pt idx="3">
                  <c:v>0.12594489757185887</c:v>
                </c:pt>
                <c:pt idx="4">
                  <c:v>6.0564835329230252E-2</c:v>
                </c:pt>
                <c:pt idx="5">
                  <c:v>-7.3677130588744283E-2</c:v>
                </c:pt>
                <c:pt idx="6">
                  <c:v>-0.18802436758100755</c:v>
                </c:pt>
                <c:pt idx="7">
                  <c:v>-0.20533180585807073</c:v>
                </c:pt>
                <c:pt idx="8">
                  <c:v>-0.12076253139443824</c:v>
                </c:pt>
                <c:pt idx="9">
                  <c:v>-6.3402118655083838E-3</c:v>
                </c:pt>
                <c:pt idx="10">
                  <c:v>4.5522583245118452E-2</c:v>
                </c:pt>
                <c:pt idx="11">
                  <c:v>-6.3402118655083838E-3</c:v>
                </c:pt>
                <c:pt idx="12">
                  <c:v>-0.12076253139443824</c:v>
                </c:pt>
                <c:pt idx="13">
                  <c:v>-0.20533180585807073</c:v>
                </c:pt>
                <c:pt idx="14">
                  <c:v>-0.18802436758100755</c:v>
                </c:pt>
                <c:pt idx="15">
                  <c:v>-7.3677130588744283E-2</c:v>
                </c:pt>
                <c:pt idx="16">
                  <c:v>6.0564835329230252E-2</c:v>
                </c:pt>
                <c:pt idx="17">
                  <c:v>0.12594489757185887</c:v>
                </c:pt>
                <c:pt idx="18">
                  <c:v>8.9221611054293132E-2</c:v>
                </c:pt>
                <c:pt idx="19">
                  <c:v>-6.4687890520678743E-3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EA7-2146-A122-C8AC4F1CB548}"/>
            </c:ext>
          </c:extLst>
        </c:ser>
        <c:ser>
          <c:idx val="14"/>
          <c:order val="14"/>
          <c:tx>
            <c:strRef>
              <c:f>Arkusz1!$A$20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Arkusz1!$B$20:$U$20</c:f>
              <c:numCache>
                <c:formatCode>General</c:formatCode>
                <c:ptCount val="20"/>
                <c:pt idx="0">
                  <c:v>-8.9669727074617581E-2</c:v>
                </c:pt>
                <c:pt idx="1">
                  <c:v>-4.1359753555614609E-2</c:v>
                </c:pt>
                <c:pt idx="2">
                  <c:v>5.1107262746848695E-2</c:v>
                </c:pt>
                <c:pt idx="3">
                  <c:v>0.11986742547288094</c:v>
                </c:pt>
                <c:pt idx="4">
                  <c:v>0.1094736471116801</c:v>
                </c:pt>
                <c:pt idx="5">
                  <c:v>1.8399091286775922E-2</c:v>
                </c:pt>
                <c:pt idx="6">
                  <c:v>-0.10182230912916722</c:v>
                </c:pt>
                <c:pt idx="7">
                  <c:v>-0.18802436758100755</c:v>
                </c:pt>
                <c:pt idx="8">
                  <c:v>-0.21243414642965108</c:v>
                </c:pt>
                <c:pt idx="9">
                  <c:v>-0.19685493398993939</c:v>
                </c:pt>
                <c:pt idx="10">
                  <c:v>-0.18458597446534838</c:v>
                </c:pt>
                <c:pt idx="11">
                  <c:v>-0.19685493398993939</c:v>
                </c:pt>
                <c:pt idx="12">
                  <c:v>-0.21243414642965108</c:v>
                </c:pt>
                <c:pt idx="13">
                  <c:v>-0.18802436758100755</c:v>
                </c:pt>
                <c:pt idx="14">
                  <c:v>-0.10182230912916722</c:v>
                </c:pt>
                <c:pt idx="15">
                  <c:v>1.8399091286775922E-2</c:v>
                </c:pt>
                <c:pt idx="16">
                  <c:v>0.1094736471116801</c:v>
                </c:pt>
                <c:pt idx="17">
                  <c:v>0.11986742547288094</c:v>
                </c:pt>
                <c:pt idx="18">
                  <c:v>5.1107262746848695E-2</c:v>
                </c:pt>
                <c:pt idx="19">
                  <c:v>-4.1359753555614609E-2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A7-2146-A122-C8AC4F1CB548}"/>
            </c:ext>
          </c:extLst>
        </c:ser>
        <c:ser>
          <c:idx val="15"/>
          <c:order val="15"/>
          <c:tx>
            <c:strRef>
              <c:f>Arkusz1!$A$21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Arkusz1!$B$21:$U$21</c:f>
              <c:numCache>
                <c:formatCode>General</c:formatCode>
                <c:ptCount val="20"/>
                <c:pt idx="0">
                  <c:v>-8.7140932853959532E-2</c:v>
                </c:pt>
                <c:pt idx="1">
                  <c:v>-7.3576893125370316E-2</c:v>
                </c:pt>
                <c:pt idx="2">
                  <c:v>-9.6528839785945048E-4</c:v>
                </c:pt>
                <c:pt idx="3">
                  <c:v>8.4209321768477521E-2</c:v>
                </c:pt>
                <c:pt idx="4">
                  <c:v>0.12629739278076232</c:v>
                </c:pt>
                <c:pt idx="5">
                  <c:v>9.8850172726736366E-2</c:v>
                </c:pt>
                <c:pt idx="6">
                  <c:v>1.8399091286775922E-2</c:v>
                </c:pt>
                <c:pt idx="7">
                  <c:v>-7.3677130588744283E-2</c:v>
                </c:pt>
                <c:pt idx="8">
                  <c:v>-0.14258366454335114</c:v>
                </c:pt>
                <c:pt idx="9">
                  <c:v>-0.17814605943836345</c:v>
                </c:pt>
                <c:pt idx="10">
                  <c:v>-0.18802436758100755</c:v>
                </c:pt>
                <c:pt idx="11">
                  <c:v>-0.17814605943836345</c:v>
                </c:pt>
                <c:pt idx="12">
                  <c:v>-0.14258366454335114</c:v>
                </c:pt>
                <c:pt idx="13">
                  <c:v>-7.3677130588744283E-2</c:v>
                </c:pt>
                <c:pt idx="14">
                  <c:v>1.8399091286775922E-2</c:v>
                </c:pt>
                <c:pt idx="15">
                  <c:v>9.8850172726736366E-2</c:v>
                </c:pt>
                <c:pt idx="16">
                  <c:v>0.12629739278076232</c:v>
                </c:pt>
                <c:pt idx="17">
                  <c:v>8.4209321768477521E-2</c:v>
                </c:pt>
                <c:pt idx="18">
                  <c:v>-9.6528839785945048E-4</c:v>
                </c:pt>
                <c:pt idx="19">
                  <c:v>-7.3576893125370316E-2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A7-2146-A122-C8AC4F1CB548}"/>
            </c:ext>
          </c:extLst>
        </c:ser>
        <c:ser>
          <c:idx val="16"/>
          <c:order val="16"/>
          <c:tx>
            <c:strRef>
              <c:f>Arkusz1!$A$22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Arkusz1!$B$22:$U$22</c:f>
              <c:numCache>
                <c:formatCode>General</c:formatCode>
                <c:ptCount val="20"/>
                <c:pt idx="0">
                  <c:v>-6.6834053613210723E-2</c:v>
                </c:pt>
                <c:pt idx="1">
                  <c:v>-9.014084393330625E-2</c:v>
                </c:pt>
                <c:pt idx="2">
                  <c:v>-5.3863476325680178E-2</c:v>
                </c:pt>
                <c:pt idx="3">
                  <c:v>2.1867567608111083E-2</c:v>
                </c:pt>
                <c:pt idx="4">
                  <c:v>9.402849547557561E-2</c:v>
                </c:pt>
                <c:pt idx="5">
                  <c:v>0.12629739278076232</c:v>
                </c:pt>
                <c:pt idx="6">
                  <c:v>0.1094736471116801</c:v>
                </c:pt>
                <c:pt idx="7">
                  <c:v>6.0564835329230252E-2</c:v>
                </c:pt>
                <c:pt idx="8">
                  <c:v>6.4375215809187062E-3</c:v>
                </c:pt>
                <c:pt idx="9">
                  <c:v>-3.2199791200669042E-2</c:v>
                </c:pt>
                <c:pt idx="10">
                  <c:v>-4.5805819376873093E-2</c:v>
                </c:pt>
                <c:pt idx="11">
                  <c:v>-3.2199791200669042E-2</c:v>
                </c:pt>
                <c:pt idx="12">
                  <c:v>6.4375215809187062E-3</c:v>
                </c:pt>
                <c:pt idx="13">
                  <c:v>6.0564835329230252E-2</c:v>
                </c:pt>
                <c:pt idx="14">
                  <c:v>0.1094736471116801</c:v>
                </c:pt>
                <c:pt idx="15">
                  <c:v>0.12629739278076232</c:v>
                </c:pt>
                <c:pt idx="16">
                  <c:v>9.402849547557561E-2</c:v>
                </c:pt>
                <c:pt idx="17">
                  <c:v>2.1867567608111083E-2</c:v>
                </c:pt>
                <c:pt idx="18">
                  <c:v>-5.3863476325680178E-2</c:v>
                </c:pt>
                <c:pt idx="19">
                  <c:v>-9.014084393330625E-2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EA7-2146-A122-C8AC4F1CB548}"/>
            </c:ext>
          </c:extLst>
        </c:ser>
        <c:ser>
          <c:idx val="17"/>
          <c:order val="17"/>
          <c:tx>
            <c:strRef>
              <c:f>Arkusz1!$A$23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Arkusz1!$B$23:$U$23</c:f>
              <c:numCache>
                <c:formatCode>General</c:formatCode>
                <c:ptCount val="20"/>
                <c:pt idx="0">
                  <c:v>-2.8610855550739372E-2</c:v>
                </c:pt>
                <c:pt idx="1">
                  <c:v>-7.9869279908175841E-2</c:v>
                </c:pt>
                <c:pt idx="2">
                  <c:v>-8.7041755809558863E-2</c:v>
                </c:pt>
                <c:pt idx="3">
                  <c:v>-4.5710982448548022E-2</c:v>
                </c:pt>
                <c:pt idx="4">
                  <c:v>2.1867567608111083E-2</c:v>
                </c:pt>
                <c:pt idx="5">
                  <c:v>8.4209321768477521E-2</c:v>
                </c:pt>
                <c:pt idx="6">
                  <c:v>0.11986742547288094</c:v>
                </c:pt>
                <c:pt idx="7">
                  <c:v>0.12594489757185887</c:v>
                </c:pt>
                <c:pt idx="8">
                  <c:v>0.11379306883619703</c:v>
                </c:pt>
                <c:pt idx="9">
                  <c:v>9.8850172726736366E-2</c:v>
                </c:pt>
                <c:pt idx="10">
                  <c:v>9.2533323763209732E-2</c:v>
                </c:pt>
                <c:pt idx="11">
                  <c:v>9.8850172726736366E-2</c:v>
                </c:pt>
                <c:pt idx="12">
                  <c:v>0.11379306883619703</c:v>
                </c:pt>
                <c:pt idx="13">
                  <c:v>0.12594489757185887</c:v>
                </c:pt>
                <c:pt idx="14">
                  <c:v>0.11986742547288094</c:v>
                </c:pt>
                <c:pt idx="15">
                  <c:v>8.4209321768477521E-2</c:v>
                </c:pt>
                <c:pt idx="16">
                  <c:v>2.1867567608111083E-2</c:v>
                </c:pt>
                <c:pt idx="17">
                  <c:v>-4.5710982448548022E-2</c:v>
                </c:pt>
                <c:pt idx="18">
                  <c:v>-8.7041755809558863E-2</c:v>
                </c:pt>
                <c:pt idx="19">
                  <c:v>-7.9869279908175841E-2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EA7-2146-A122-C8AC4F1CB548}"/>
            </c:ext>
          </c:extLst>
        </c:ser>
        <c:ser>
          <c:idx val="18"/>
          <c:order val="18"/>
          <c:tx>
            <c:strRef>
              <c:f>Arkusz1!$A$24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Arkusz1!$B$24:$U$24</c:f>
              <c:numCache>
                <c:formatCode>General</c:formatCode>
                <c:ptCount val="20"/>
                <c:pt idx="0">
                  <c:v>1.8408446605443881E-2</c:v>
                </c:pt>
                <c:pt idx="1">
                  <c:v>-4.1264694440881371E-2</c:v>
                </c:pt>
                <c:pt idx="2">
                  <c:v>-8.3217534449881794E-2</c:v>
                </c:pt>
                <c:pt idx="3">
                  <c:v>-8.7041755809558863E-2</c:v>
                </c:pt>
                <c:pt idx="4">
                  <c:v>-5.3863476325680178E-2</c:v>
                </c:pt>
                <c:pt idx="5">
                  <c:v>-9.6528839785945048E-4</c:v>
                </c:pt>
                <c:pt idx="6">
                  <c:v>5.1107262746848695E-2</c:v>
                </c:pt>
                <c:pt idx="7">
                  <c:v>8.9221611054293132E-2</c:v>
                </c:pt>
                <c:pt idx="8">
                  <c:v>0.11071599545486101</c:v>
                </c:pt>
                <c:pt idx="9">
                  <c:v>0.11986742547288094</c:v>
                </c:pt>
                <c:pt idx="10">
                  <c:v>0.12214299341029405</c:v>
                </c:pt>
                <c:pt idx="11">
                  <c:v>0.11986742547288094</c:v>
                </c:pt>
                <c:pt idx="12">
                  <c:v>0.11071599545486101</c:v>
                </c:pt>
                <c:pt idx="13">
                  <c:v>8.9221611054293132E-2</c:v>
                </c:pt>
                <c:pt idx="14">
                  <c:v>5.1107262746848695E-2</c:v>
                </c:pt>
                <c:pt idx="15">
                  <c:v>-9.6528839785945048E-4</c:v>
                </c:pt>
                <c:pt idx="16">
                  <c:v>-5.3863476325680178E-2</c:v>
                </c:pt>
                <c:pt idx="17">
                  <c:v>-8.7041755809558863E-2</c:v>
                </c:pt>
                <c:pt idx="18">
                  <c:v>-8.3217534449881794E-2</c:v>
                </c:pt>
                <c:pt idx="19">
                  <c:v>-4.1264694440881371E-2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EA7-2146-A122-C8AC4F1CB548}"/>
            </c:ext>
          </c:extLst>
        </c:ser>
        <c:ser>
          <c:idx val="19"/>
          <c:order val="19"/>
          <c:tx>
            <c:strRef>
              <c:f>Arkusz1!$A$25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Arkusz1!$B$5:$U$5</c:f>
              <c:numCache>
                <c:formatCode>General</c:formatCode>
                <c:ptCount val="20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</c:numCache>
            </c:numRef>
          </c:cat>
          <c:val>
            <c:numRef>
              <c:f>Arkusz1!$B$25:$U$25</c:f>
              <c:numCache>
                <c:formatCode>General</c:formatCode>
                <c:ptCount val="20"/>
                <c:pt idx="0">
                  <c:v>5.7205371312972299E-2</c:v>
                </c:pt>
                <c:pt idx="1">
                  <c:v>1.2539025751622282E-2</c:v>
                </c:pt>
                <c:pt idx="2">
                  <c:v>-4.1264694440881371E-2</c:v>
                </c:pt>
                <c:pt idx="3">
                  <c:v>-7.9869279908175841E-2</c:v>
                </c:pt>
                <c:pt idx="4">
                  <c:v>-9.014084393330625E-2</c:v>
                </c:pt>
                <c:pt idx="5">
                  <c:v>-7.3576893125370316E-2</c:v>
                </c:pt>
                <c:pt idx="6">
                  <c:v>-4.1359753555614609E-2</c:v>
                </c:pt>
                <c:pt idx="7">
                  <c:v>-6.4687890520678743E-3</c:v>
                </c:pt>
                <c:pt idx="8">
                  <c:v>2.1867567608111083E-2</c:v>
                </c:pt>
                <c:pt idx="9">
                  <c:v>3.9435727916519343E-2</c:v>
                </c:pt>
                <c:pt idx="10">
                  <c:v>4.5287745630962266E-2</c:v>
                </c:pt>
                <c:pt idx="11">
                  <c:v>3.9435727916519343E-2</c:v>
                </c:pt>
                <c:pt idx="12">
                  <c:v>2.1867567608111083E-2</c:v>
                </c:pt>
                <c:pt idx="13">
                  <c:v>-6.4687890520678743E-3</c:v>
                </c:pt>
                <c:pt idx="14">
                  <c:v>-4.1359753555614609E-2</c:v>
                </c:pt>
                <c:pt idx="15">
                  <c:v>-7.3576893125370316E-2</c:v>
                </c:pt>
                <c:pt idx="16">
                  <c:v>-9.014084393330625E-2</c:v>
                </c:pt>
                <c:pt idx="17">
                  <c:v>-7.9869279908175841E-2</c:v>
                </c:pt>
                <c:pt idx="18">
                  <c:v>-4.1264694440881371E-2</c:v>
                </c:pt>
                <c:pt idx="19">
                  <c:v>1.2539025751622282E-2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EA7-2146-A122-C8AC4F1CB54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38205647"/>
        <c:axId val="1184772399"/>
        <c:axId val="1403687343"/>
      </c:surface3DChart>
      <c:catAx>
        <c:axId val="1538205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84772399"/>
        <c:crosses val="autoZero"/>
        <c:auto val="1"/>
        <c:lblAlgn val="ctr"/>
        <c:lblOffset val="100"/>
        <c:noMultiLvlLbl val="0"/>
      </c:catAx>
      <c:valAx>
        <c:axId val="1184772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8205647"/>
        <c:crosses val="autoZero"/>
        <c:crossBetween val="midCat"/>
      </c:valAx>
      <c:serAx>
        <c:axId val="1403687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8477239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przybliżenia </a:t>
            </a:r>
            <a:r>
              <a:rPr lang="el-GR" sz="1400" b="0" i="0" u="none" strike="noStrike" baseline="0">
                <a:effectLst/>
              </a:rPr>
              <a:t>𝜋</a:t>
            </a:r>
            <a:r>
              <a:rPr lang="el-GR" sz="1400" b="0" i="0" u="none" strike="noStrike" baseline="0"/>
              <a:t> 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7.4422397717777602E-2"/>
          <c:y val="0.12744565926187423"/>
          <c:w val="0.89840097981489042"/>
          <c:h val="0.7264809912376643"/>
        </c:manualLayout>
      </c:layout>
      <c:lineChart>
        <c:grouping val="standard"/>
        <c:varyColors val="0"/>
        <c:ser>
          <c:idx val="0"/>
          <c:order val="0"/>
          <c:tx>
            <c:strRef>
              <c:f>Arkusz2!$B$1</c:f>
              <c:strCache>
                <c:ptCount val="1"/>
                <c:pt idx="0">
                  <c:v>Newton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Arkusz2!$A$2:$A$102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cat>
          <c:val>
            <c:numRef>
              <c:f>Arkusz2!$B$2:$B$102</c:f>
              <c:numCache>
                <c:formatCode>General</c:formatCode>
                <c:ptCount val="101"/>
                <c:pt idx="0">
                  <c:v>2</c:v>
                </c:pt>
                <c:pt idx="1">
                  <c:v>2.6666666666666665</c:v>
                </c:pt>
                <c:pt idx="2">
                  <c:v>2.9333333333333331</c:v>
                </c:pt>
                <c:pt idx="3">
                  <c:v>3.0476190476190474</c:v>
                </c:pt>
                <c:pt idx="4">
                  <c:v>3.0984126984126981</c:v>
                </c:pt>
                <c:pt idx="5">
                  <c:v>3.1215007215007211</c:v>
                </c:pt>
                <c:pt idx="6">
                  <c:v>3.1321567321567318</c:v>
                </c:pt>
                <c:pt idx="7">
                  <c:v>3.1371295371295367</c:v>
                </c:pt>
                <c:pt idx="8">
                  <c:v>3.1394696806461506</c:v>
                </c:pt>
                <c:pt idx="9">
                  <c:v>3.1405781696803361</c:v>
                </c:pt>
                <c:pt idx="10">
                  <c:v>3.1411060216013769</c:v>
                </c:pt>
                <c:pt idx="11">
                  <c:v>3.1413584725201353</c:v>
                </c:pt>
                <c:pt idx="12">
                  <c:v>3.1414796489611394</c:v>
                </c:pt>
                <c:pt idx="13">
                  <c:v>3.1415379931734746</c:v>
                </c:pt>
                <c:pt idx="14">
                  <c:v>3.1415661593449467</c:v>
                </c:pt>
                <c:pt idx="15">
                  <c:v>3.1415797881375944</c:v>
                </c:pt>
                <c:pt idx="16">
                  <c:v>3.1415863960370602</c:v>
                </c:pt>
                <c:pt idx="17">
                  <c:v>3.1415896055882291</c:v>
                </c:pt>
                <c:pt idx="18">
                  <c:v>3.1415911669915006</c:v>
                </c:pt>
                <c:pt idx="19">
                  <c:v>3.1415919276751456</c:v>
                </c:pt>
                <c:pt idx="20">
                  <c:v>3.1415922987403384</c:v>
                </c:pt>
                <c:pt idx="21">
                  <c:v>3.1415924799582231</c:v>
                </c:pt>
                <c:pt idx="22">
                  <c:v>3.1415925685536337</c:v>
                </c:pt>
                <c:pt idx="23">
                  <c:v>3.1415926119088344</c:v>
                </c:pt>
                <c:pt idx="24">
                  <c:v>3.1415926331440347</c:v>
                </c:pt>
                <c:pt idx="25">
                  <c:v>3.1415926435534467</c:v>
                </c:pt>
                <c:pt idx="26">
                  <c:v>3.1415926486599508</c:v>
                </c:pt>
                <c:pt idx="27">
                  <c:v>3.1415926511667802</c:v>
                </c:pt>
                <c:pt idx="28">
                  <c:v>3.141592652398205</c:v>
                </c:pt>
                <c:pt idx="29">
                  <c:v>3.1415926530034817</c:v>
                </c:pt>
                <c:pt idx="30">
                  <c:v>3.1415926533011587</c:v>
                </c:pt>
                <c:pt idx="31">
                  <c:v>3.1415926534476348</c:v>
                </c:pt>
                <c:pt idx="32">
                  <c:v>3.141592653519746</c:v>
                </c:pt>
                <c:pt idx="33">
                  <c:v>3.1415926535552634</c:v>
                </c:pt>
                <c:pt idx="34">
                  <c:v>3.141592653572765</c:v>
                </c:pt>
                <c:pt idx="35">
                  <c:v>3.1415926535813923</c:v>
                </c:pt>
                <c:pt idx="36">
                  <c:v>3.1415926535856471</c:v>
                </c:pt>
                <c:pt idx="37">
                  <c:v>3.1415926535877459</c:v>
                </c:pt>
                <c:pt idx="38">
                  <c:v>3.1415926535887819</c:v>
                </c:pt>
                <c:pt idx="39">
                  <c:v>3.1415926535892931</c:v>
                </c:pt>
                <c:pt idx="40">
                  <c:v>3.1415926535895458</c:v>
                </c:pt>
                <c:pt idx="41">
                  <c:v>3.1415926535896705</c:v>
                </c:pt>
                <c:pt idx="42">
                  <c:v>3.1415926535897323</c:v>
                </c:pt>
                <c:pt idx="43">
                  <c:v>3.1415926535897629</c:v>
                </c:pt>
                <c:pt idx="44">
                  <c:v>3.141592653589778</c:v>
                </c:pt>
                <c:pt idx="45">
                  <c:v>3.1415926535897856</c:v>
                </c:pt>
                <c:pt idx="46">
                  <c:v>3.1415926535897891</c:v>
                </c:pt>
                <c:pt idx="47">
                  <c:v>3.1415926535897909</c:v>
                </c:pt>
                <c:pt idx="48">
                  <c:v>3.1415926535897918</c:v>
                </c:pt>
                <c:pt idx="49">
                  <c:v>3.1415926535897922</c:v>
                </c:pt>
                <c:pt idx="50">
                  <c:v>3.1415926535897922</c:v>
                </c:pt>
                <c:pt idx="51">
                  <c:v>3.1415926535897922</c:v>
                </c:pt>
                <c:pt idx="52">
                  <c:v>3.1415926535897922</c:v>
                </c:pt>
                <c:pt idx="53">
                  <c:v>3.1415926535897922</c:v>
                </c:pt>
                <c:pt idx="54">
                  <c:v>3.1415926535897922</c:v>
                </c:pt>
                <c:pt idx="55">
                  <c:v>3.1415926535897922</c:v>
                </c:pt>
                <c:pt idx="56">
                  <c:v>3.1415926535897922</c:v>
                </c:pt>
                <c:pt idx="57">
                  <c:v>3.1415926535897922</c:v>
                </c:pt>
                <c:pt idx="58">
                  <c:v>3.1415926535897922</c:v>
                </c:pt>
                <c:pt idx="59">
                  <c:v>3.1415926535897922</c:v>
                </c:pt>
                <c:pt idx="60">
                  <c:v>3.1415926535897922</c:v>
                </c:pt>
                <c:pt idx="61">
                  <c:v>3.1415926535897922</c:v>
                </c:pt>
                <c:pt idx="62">
                  <c:v>3.1415926535897922</c:v>
                </c:pt>
                <c:pt idx="63">
                  <c:v>3.1415926535897922</c:v>
                </c:pt>
                <c:pt idx="64">
                  <c:v>3.1415926535897922</c:v>
                </c:pt>
                <c:pt idx="65">
                  <c:v>3.1415926535897922</c:v>
                </c:pt>
                <c:pt idx="66">
                  <c:v>3.1415926535897922</c:v>
                </c:pt>
                <c:pt idx="67">
                  <c:v>3.1415926535897922</c:v>
                </c:pt>
                <c:pt idx="68">
                  <c:v>3.1415926535897922</c:v>
                </c:pt>
                <c:pt idx="69">
                  <c:v>3.1415926535897922</c:v>
                </c:pt>
                <c:pt idx="70">
                  <c:v>3.1415926535897922</c:v>
                </c:pt>
                <c:pt idx="71">
                  <c:v>3.1415926535897922</c:v>
                </c:pt>
                <c:pt idx="72">
                  <c:v>3.1415926535897922</c:v>
                </c:pt>
                <c:pt idx="73">
                  <c:v>3.1415926535897922</c:v>
                </c:pt>
                <c:pt idx="74">
                  <c:v>3.1415926535897922</c:v>
                </c:pt>
                <c:pt idx="75">
                  <c:v>3.1415926535897922</c:v>
                </c:pt>
                <c:pt idx="76">
                  <c:v>3.1415926535897922</c:v>
                </c:pt>
                <c:pt idx="77">
                  <c:v>3.1415926535897922</c:v>
                </c:pt>
                <c:pt idx="78">
                  <c:v>3.1415926535897922</c:v>
                </c:pt>
                <c:pt idx="79">
                  <c:v>3.1415926535897922</c:v>
                </c:pt>
                <c:pt idx="80">
                  <c:v>3.1415926535897922</c:v>
                </c:pt>
                <c:pt idx="81">
                  <c:v>3.1415926535897922</c:v>
                </c:pt>
                <c:pt idx="82">
                  <c:v>3.1415926535897922</c:v>
                </c:pt>
                <c:pt idx="83">
                  <c:v>3.1415926535897922</c:v>
                </c:pt>
                <c:pt idx="84">
                  <c:v>3.1415926535897922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3-A049-B788-84FEE0659A2E}"/>
            </c:ext>
          </c:extLst>
        </c:ser>
        <c:ser>
          <c:idx val="1"/>
          <c:order val="1"/>
          <c:tx>
            <c:strRef>
              <c:f>Arkusz2!$C$1</c:f>
              <c:strCache>
                <c:ptCount val="1"/>
                <c:pt idx="0">
                  <c:v>Wallis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Arkusz2!$A$2:$A$102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cat>
          <c:val>
            <c:numRef>
              <c:f>Arkusz2!$C$2:$C$102</c:f>
              <c:numCache>
                <c:formatCode>General</c:formatCode>
                <c:ptCount val="101"/>
                <c:pt idx="1">
                  <c:v>2.6666666666666665</c:v>
                </c:pt>
                <c:pt idx="2">
                  <c:v>2.8444444444444441</c:v>
                </c:pt>
                <c:pt idx="3">
                  <c:v>2.9257142857142853</c:v>
                </c:pt>
                <c:pt idx="4">
                  <c:v>2.972154195011337</c:v>
                </c:pt>
                <c:pt idx="5">
                  <c:v>3.0021759545569062</c:v>
                </c:pt>
                <c:pt idx="6">
                  <c:v>3.0231701920013605</c:v>
                </c:pt>
                <c:pt idx="7">
                  <c:v>3.0386736288834189</c:v>
                </c:pt>
                <c:pt idx="8">
                  <c:v>3.0505899960555105</c:v>
                </c:pt>
                <c:pt idx="9">
                  <c:v>3.0600345471268899</c:v>
                </c:pt>
                <c:pt idx="10">
                  <c:v>3.0677038066434985</c:v>
                </c:pt>
                <c:pt idx="11">
                  <c:v>3.0740551602804418</c:v>
                </c:pt>
                <c:pt idx="12">
                  <c:v>3.0794013431678864</c:v>
                </c:pt>
                <c:pt idx="13">
                  <c:v>3.0839634192318388</c:v>
                </c:pt>
                <c:pt idx="14">
                  <c:v>3.087902069831113</c:v>
                </c:pt>
                <c:pt idx="15">
                  <c:v>3.0913368885962198</c:v>
                </c:pt>
                <c:pt idx="16">
                  <c:v>3.0943587232869296</c:v>
                </c:pt>
                <c:pt idx="17">
                  <c:v>3.0970378217486498</c:v>
                </c:pt>
                <c:pt idx="18">
                  <c:v>3.0994293567461395</c:v>
                </c:pt>
                <c:pt idx="19">
                  <c:v>3.101577263438271</c:v>
                </c:pt>
                <c:pt idx="20">
                  <c:v>3.1035169615392331</c:v>
                </c:pt>
                <c:pt idx="21">
                  <c:v>3.1052773228333561</c:v>
                </c:pt>
                <c:pt idx="22">
                  <c:v>3.1068821173154406</c:v>
                </c:pt>
                <c:pt idx="23">
                  <c:v>3.108351092311807</c:v>
                </c:pt>
                <c:pt idx="24">
                  <c:v>3.1097007888347385</c:v>
                </c:pt>
                <c:pt idx="25">
                  <c:v>3.1109451669014989</c:v>
                </c:pt>
                <c:pt idx="26">
                  <c:v>3.1120960900117107</c:v>
                </c:pt>
                <c:pt idx="27">
                  <c:v>3.1131637044508227</c:v>
                </c:pt>
                <c:pt idx="28">
                  <c:v>3.1141567391252885</c:v>
                </c:pt>
                <c:pt idx="29">
                  <c:v>3.1150827446974341</c:v>
                </c:pt>
                <c:pt idx="30">
                  <c:v>3.1159482858879586</c:v>
                </c:pt>
                <c:pt idx="31">
                  <c:v>3.1167590973076535</c:v>
                </c:pt>
                <c:pt idx="32">
                  <c:v>3.1175202106403295</c:v>
                </c:pt>
                <c:pt idx="33">
                  <c:v>3.1182360591387543</c:v>
                </c:pt>
                <c:pt idx="34">
                  <c:v>3.1189105640185164</c:v>
                </c:pt>
                <c:pt idx="35">
                  <c:v>3.1195472063055179</c:v>
                </c:pt>
                <c:pt idx="36">
                  <c:v>3.1201490869164199</c:v>
                </c:pt>
                <c:pt idx="37">
                  <c:v>3.1207189771606059</c:v>
                </c:pt>
                <c:pt idx="38">
                  <c:v>3.1212593613990753</c:v>
                </c:pt>
                <c:pt idx="39">
                  <c:v>3.1217724732454339</c:v>
                </c:pt>
                <c:pt idx="40">
                  <c:v>3.1222603264214372</c:v>
                </c:pt>
                <c:pt idx="41">
                  <c:v>3.1227247411658103</c:v>
                </c:pt>
                <c:pt idx="42">
                  <c:v>3.1231673669264293</c:v>
                </c:pt>
                <c:pt idx="43">
                  <c:v>3.1235897019320986</c:v>
                </c:pt>
                <c:pt idx="44">
                  <c:v>3.1239931101333038</c:v>
                </c:pt>
                <c:pt idx="45">
                  <c:v>3.1243788359155156</c:v>
                </c:pt>
                <c:pt idx="46">
                  <c:v>3.1247480169194048</c:v>
                </c:pt>
                <c:pt idx="47">
                  <c:v>3.1251016952461641</c:v>
                </c:pt>
                <c:pt idx="48">
                  <c:v>3.1254408272803742</c:v>
                </c:pt>
                <c:pt idx="49">
                  <c:v>3.1257662923253897</c:v>
                </c:pt>
                <c:pt idx="50">
                  <c:v>3.1260789002154108</c:v>
                </c:pt>
                <c:pt idx="51">
                  <c:v>3.1263793980429813</c:v>
                </c:pt>
                <c:pt idx="52">
                  <c:v>3.1266684761195456</c:v>
                </c:pt>
                <c:pt idx="53">
                  <c:v>3.1269467732691778</c:v>
                </c:pt>
                <c:pt idx="54">
                  <c:v>3.1272148815409149</c:v>
                </c:pt>
                <c:pt idx="55">
                  <c:v>3.1274733504128496</c:v>
                </c:pt>
                <c:pt idx="56">
                  <c:v>3.1277226905508084</c:v>
                </c:pt>
                <c:pt idx="57">
                  <c:v>3.1279633771757065</c:v>
                </c:pt>
                <c:pt idx="58">
                  <c:v>3.1281958530863103</c:v>
                </c:pt>
                <c:pt idx="59">
                  <c:v>3.1284205313778486</c:v>
                </c:pt>
                <c:pt idx="60">
                  <c:v>3.1286377978915914</c:v>
                </c:pt>
                <c:pt idx="61">
                  <c:v>3.1288480134259524</c:v>
                </c:pt>
                <c:pt idx="62">
                  <c:v>3.1290515157357688</c:v>
                </c:pt>
                <c:pt idx="63">
                  <c:v>3.1292486213430593</c:v>
                </c:pt>
                <c:pt idx="64">
                  <c:v>3.1294396271796789</c:v>
                </c:pt>
                <c:pt idx="65">
                  <c:v>3.1296248120798023</c:v>
                </c:pt>
                <c:pt idx="66">
                  <c:v>3.1298044381380059</c:v>
                </c:pt>
                <c:pt idx="67">
                  <c:v>3.1299787519468691</c:v>
                </c:pt>
                <c:pt idx="68">
                  <c:v>3.1301479857263739</c:v>
                </c:pt>
                <c:pt idx="69">
                  <c:v>3.1303123583559871</c:v>
                </c:pt>
                <c:pt idx="70">
                  <c:v>3.1304720763190645</c:v>
                </c:pt>
                <c:pt idx="71">
                  <c:v>3.1306273345681501</c:v>
                </c:pt>
                <c:pt idx="72">
                  <c:v>3.1307783173187924</c:v>
                </c:pt>
                <c:pt idx="73">
                  <c:v>3.1309251987786713</c:v>
                </c:pt>
                <c:pt idx="74">
                  <c:v>3.1310681438181081</c:v>
                </c:pt>
                <c:pt idx="75">
                  <c:v>3.1312073085873782</c:v>
                </c:pt>
                <c:pt idx="76">
                  <c:v>3.1313428410856936</c:v>
                </c:pt>
                <c:pt idx="77">
                  <c:v>3.1314748816862035</c:v>
                </c:pt>
                <c:pt idx="78">
                  <c:v>3.1316035636209349</c:v>
                </c:pt>
                <c:pt idx="79">
                  <c:v>3.131729013429196</c:v>
                </c:pt>
                <c:pt idx="80">
                  <c:v>3.1318513513726089</c:v>
                </c:pt>
                <c:pt idx="81">
                  <c:v>3.1319706918196375</c:v>
                </c:pt>
                <c:pt idx="82">
                  <c:v>3.1320871436021926</c:v>
                </c:pt>
                <c:pt idx="83">
                  <c:v>3.1322008103466525</c:v>
                </c:pt>
                <c:pt idx="84">
                  <c:v>3.1323117907814169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A3-A049-B788-84FEE0659A2E}"/>
            </c:ext>
          </c:extLst>
        </c:ser>
        <c:ser>
          <c:idx val="2"/>
          <c:order val="2"/>
          <c:tx>
            <c:strRef>
              <c:f>Arkusz2!$D$1</c:f>
              <c:strCache>
                <c:ptCount val="1"/>
                <c:pt idx="0">
                  <c:v>Leibniz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Arkusz2!$A$2:$A$102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cat>
          <c:val>
            <c:numRef>
              <c:f>Arkusz2!$D$2:$D$102</c:f>
              <c:numCache>
                <c:formatCode>General</c:formatCode>
                <c:ptCount val="101"/>
                <c:pt idx="0">
                  <c:v>4</c:v>
                </c:pt>
                <c:pt idx="1">
                  <c:v>2.666666666666667</c:v>
                </c:pt>
                <c:pt idx="2">
                  <c:v>3.4666666666666668</c:v>
                </c:pt>
                <c:pt idx="3">
                  <c:v>2.8952380952380956</c:v>
                </c:pt>
                <c:pt idx="4">
                  <c:v>3.3396825396825403</c:v>
                </c:pt>
                <c:pt idx="5">
                  <c:v>2.9760461760461765</c:v>
                </c:pt>
                <c:pt idx="6">
                  <c:v>3.2837384837384844</c:v>
                </c:pt>
                <c:pt idx="7">
                  <c:v>3.0170718170718178</c:v>
                </c:pt>
                <c:pt idx="8">
                  <c:v>3.2523659347188767</c:v>
                </c:pt>
                <c:pt idx="9">
                  <c:v>3.0418396189294032</c:v>
                </c:pt>
                <c:pt idx="10">
                  <c:v>3.2323158094055939</c:v>
                </c:pt>
                <c:pt idx="11">
                  <c:v>3.0584027659273332</c:v>
                </c:pt>
                <c:pt idx="12">
                  <c:v>3.2184027659273333</c:v>
                </c:pt>
                <c:pt idx="13">
                  <c:v>3.0702546177791854</c:v>
                </c:pt>
                <c:pt idx="14">
                  <c:v>3.2081856522619439</c:v>
                </c:pt>
                <c:pt idx="15">
                  <c:v>3.0791533941974278</c:v>
                </c:pt>
                <c:pt idx="16">
                  <c:v>3.2003655154095489</c:v>
                </c:pt>
                <c:pt idx="17">
                  <c:v>3.0860798011238346</c:v>
                </c:pt>
                <c:pt idx="18">
                  <c:v>3.1941879092319425</c:v>
                </c:pt>
                <c:pt idx="19">
                  <c:v>3.0916238066678399</c:v>
                </c:pt>
                <c:pt idx="20">
                  <c:v>3.1891847822775961</c:v>
                </c:pt>
                <c:pt idx="21">
                  <c:v>3.0961615264636424</c:v>
                </c:pt>
                <c:pt idx="22">
                  <c:v>3.1850504153525314</c:v>
                </c:pt>
                <c:pt idx="23">
                  <c:v>3.0999440323738079</c:v>
                </c:pt>
                <c:pt idx="24">
                  <c:v>3.1815766854350325</c:v>
                </c:pt>
                <c:pt idx="25">
                  <c:v>3.1031453128860127</c:v>
                </c:pt>
                <c:pt idx="26">
                  <c:v>3.1786170109992202</c:v>
                </c:pt>
                <c:pt idx="27">
                  <c:v>3.1058897382719475</c:v>
                </c:pt>
                <c:pt idx="28">
                  <c:v>3.1760651768684385</c:v>
                </c:pt>
                <c:pt idx="29">
                  <c:v>3.1082685666989471</c:v>
                </c:pt>
                <c:pt idx="30">
                  <c:v>3.1738423371907505</c:v>
                </c:pt>
                <c:pt idx="31">
                  <c:v>3.1103502736986872</c:v>
                </c:pt>
                <c:pt idx="32">
                  <c:v>3.1718887352371485</c:v>
                </c:pt>
                <c:pt idx="33">
                  <c:v>3.1121872426998349</c:v>
                </c:pt>
                <c:pt idx="34">
                  <c:v>3.1701582571925884</c:v>
                </c:pt>
                <c:pt idx="35">
                  <c:v>3.1138202290235744</c:v>
                </c:pt>
                <c:pt idx="36">
                  <c:v>3.1686147495715193</c:v>
                </c:pt>
                <c:pt idx="37">
                  <c:v>3.1152814162381861</c:v>
                </c:pt>
                <c:pt idx="38">
                  <c:v>3.1672294681862381</c:v>
                </c:pt>
                <c:pt idx="39">
                  <c:v>3.1165965567938332</c:v>
                </c:pt>
                <c:pt idx="40">
                  <c:v>3.1659792728432157</c:v>
                </c:pt>
                <c:pt idx="41">
                  <c:v>3.1177865017588782</c:v>
                </c:pt>
                <c:pt idx="42">
                  <c:v>3.1648453252882898</c:v>
                </c:pt>
                <c:pt idx="43">
                  <c:v>3.118868313794037</c:v>
                </c:pt>
                <c:pt idx="44">
                  <c:v>3.1638121340187562</c:v>
                </c:pt>
                <c:pt idx="45">
                  <c:v>3.1198560900627124</c:v>
                </c:pt>
                <c:pt idx="46">
                  <c:v>3.1628668427508844</c:v>
                </c:pt>
                <c:pt idx="47">
                  <c:v>3.1207615795929895</c:v>
                </c:pt>
                <c:pt idx="48">
                  <c:v>3.1619986929950512</c:v>
                </c:pt>
                <c:pt idx="49">
                  <c:v>3.121594652591011</c:v>
                </c:pt>
                <c:pt idx="50">
                  <c:v>3.1611986129870506</c:v>
                </c:pt>
                <c:pt idx="51">
                  <c:v>3.12236366153074</c:v>
                </c:pt>
                <c:pt idx="52">
                  <c:v>3.1604588996259779</c:v>
                </c:pt>
                <c:pt idx="53">
                  <c:v>3.1230757220558845</c:v>
                </c:pt>
                <c:pt idx="54">
                  <c:v>3.1597729697623063</c:v>
                </c:pt>
                <c:pt idx="55">
                  <c:v>3.1237369337262701</c:v>
                </c:pt>
                <c:pt idx="56">
                  <c:v>3.1591351638147658</c:v>
                </c:pt>
                <c:pt idx="57">
                  <c:v>3.1243525551191138</c:v>
                </c:pt>
                <c:pt idx="58">
                  <c:v>3.1585405893071479</c:v>
                </c:pt>
                <c:pt idx="59">
                  <c:v>3.1249271439289967</c:v>
                </c:pt>
                <c:pt idx="60">
                  <c:v>3.157984995168666</c:v>
                </c:pt>
                <c:pt idx="61">
                  <c:v>3.1254646699654138</c:v>
                </c:pt>
                <c:pt idx="62">
                  <c:v>3.1574646699654139</c:v>
                </c:pt>
                <c:pt idx="63">
                  <c:v>3.1259686069732879</c:v>
                </c:pt>
                <c:pt idx="64">
                  <c:v>3.1569763589112725</c:v>
                </c:pt>
                <c:pt idx="65">
                  <c:v>3.1264420077662343</c:v>
                </c:pt>
                <c:pt idx="66">
                  <c:v>3.1565171957361589</c:v>
                </c:pt>
                <c:pt idx="67">
                  <c:v>3.1268875661065292</c:v>
                </c:pt>
                <c:pt idx="68">
                  <c:v>3.1560846463984999</c:v>
                </c:pt>
                <c:pt idx="69">
                  <c:v>3.1273076679812339</c:v>
                </c:pt>
                <c:pt idx="70">
                  <c:v>3.1556764623074751</c:v>
                </c:pt>
                <c:pt idx="71">
                  <c:v>3.1277044343354472</c:v>
                </c:pt>
                <c:pt idx="72">
                  <c:v>3.155290641231999</c:v>
                </c:pt>
                <c:pt idx="73">
                  <c:v>3.1280797568782575</c:v>
                </c:pt>
                <c:pt idx="74">
                  <c:v>3.15492539446215</c:v>
                </c:pt>
                <c:pt idx="75">
                  <c:v>3.1284353282369843</c:v>
                </c:pt>
                <c:pt idx="76">
                  <c:v>3.1545791190866574</c:v>
                </c:pt>
                <c:pt idx="77">
                  <c:v>3.1287726674737542</c:v>
                </c:pt>
                <c:pt idx="78">
                  <c:v>3.1542503744801236</c:v>
                </c:pt>
                <c:pt idx="79">
                  <c:v>3.1290931417757211</c:v>
                </c:pt>
                <c:pt idx="80">
                  <c:v>3.1539378622726155</c:v>
                </c:pt>
                <c:pt idx="81">
                  <c:v>3.1293979849720022</c:v>
                </c:pt>
                <c:pt idx="82">
                  <c:v>3.1536404092144266</c:v>
                </c:pt>
                <c:pt idx="83">
                  <c:v>3.1296883134060431</c:v>
                </c:pt>
                <c:pt idx="84">
                  <c:v>3.1533569524592977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A3-A049-B788-84FEE0659A2E}"/>
            </c:ext>
          </c:extLst>
        </c:ser>
        <c:ser>
          <c:idx val="3"/>
          <c:order val="3"/>
          <c:tx>
            <c:strRef>
              <c:f>Arkusz2!$E$1</c:f>
              <c:strCache>
                <c:ptCount val="1"/>
                <c:pt idx="0">
                  <c:v>Viet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Arkusz2!$A$2:$A$102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cat>
          <c:val>
            <c:numRef>
              <c:f>Arkusz2!$E$2:$E$102</c:f>
              <c:numCache>
                <c:formatCode>General</c:formatCode>
                <c:ptCount val="101"/>
                <c:pt idx="1">
                  <c:v>2.8284271247461903</c:v>
                </c:pt>
                <c:pt idx="2">
                  <c:v>3.0614674589207183</c:v>
                </c:pt>
                <c:pt idx="3">
                  <c:v>3.1214451522580524</c:v>
                </c:pt>
                <c:pt idx="4">
                  <c:v>3.1365484905459393</c:v>
                </c:pt>
                <c:pt idx="5">
                  <c:v>3.140331156954753</c:v>
                </c:pt>
                <c:pt idx="6">
                  <c:v>3.1412772509327729</c:v>
                </c:pt>
                <c:pt idx="7">
                  <c:v>3.1415138011443009</c:v>
                </c:pt>
                <c:pt idx="8">
                  <c:v>3.1415729403670918</c:v>
                </c:pt>
                <c:pt idx="9">
                  <c:v>3.14158772527716</c:v>
                </c:pt>
                <c:pt idx="10">
                  <c:v>3.1415914215112002</c:v>
                </c:pt>
                <c:pt idx="11">
                  <c:v>3.141592345570118</c:v>
                </c:pt>
                <c:pt idx="12">
                  <c:v>3.1415925765848729</c:v>
                </c:pt>
                <c:pt idx="13">
                  <c:v>3.1415926343385636</c:v>
                </c:pt>
                <c:pt idx="14">
                  <c:v>3.1415926487769865</c:v>
                </c:pt>
                <c:pt idx="15">
                  <c:v>3.141592652386592</c:v>
                </c:pt>
                <c:pt idx="16">
                  <c:v>3.1415926532889937</c:v>
                </c:pt>
                <c:pt idx="17">
                  <c:v>3.1415926535145946</c:v>
                </c:pt>
                <c:pt idx="18">
                  <c:v>3.1415926535709948</c:v>
                </c:pt>
                <c:pt idx="19">
                  <c:v>3.1415926535850951</c:v>
                </c:pt>
                <c:pt idx="20">
                  <c:v>3.1415926535886207</c:v>
                </c:pt>
                <c:pt idx="21">
                  <c:v>3.1415926535895022</c:v>
                </c:pt>
                <c:pt idx="22">
                  <c:v>3.1415926535897225</c:v>
                </c:pt>
                <c:pt idx="23">
                  <c:v>3.1415926535897776</c:v>
                </c:pt>
                <c:pt idx="24">
                  <c:v>3.1415926535897913</c:v>
                </c:pt>
                <c:pt idx="25">
                  <c:v>3.1415926535897949</c:v>
                </c:pt>
                <c:pt idx="26">
                  <c:v>3.1415926535897962</c:v>
                </c:pt>
                <c:pt idx="27">
                  <c:v>3.1415926535897971</c:v>
                </c:pt>
                <c:pt idx="28">
                  <c:v>3.1415926535897971</c:v>
                </c:pt>
                <c:pt idx="29">
                  <c:v>3.1415926535897971</c:v>
                </c:pt>
                <c:pt idx="30">
                  <c:v>3.1415926535897971</c:v>
                </c:pt>
                <c:pt idx="31">
                  <c:v>3.1415926535897971</c:v>
                </c:pt>
                <c:pt idx="32">
                  <c:v>3.1415926535897971</c:v>
                </c:pt>
                <c:pt idx="33">
                  <c:v>3.1415926535897971</c:v>
                </c:pt>
                <c:pt idx="34">
                  <c:v>3.1415926535897971</c:v>
                </c:pt>
                <c:pt idx="35">
                  <c:v>3.1415926535897971</c:v>
                </c:pt>
                <c:pt idx="36">
                  <c:v>3.1415926535897971</c:v>
                </c:pt>
                <c:pt idx="37">
                  <c:v>3.1415926535897971</c:v>
                </c:pt>
                <c:pt idx="38">
                  <c:v>3.1415926535897971</c:v>
                </c:pt>
                <c:pt idx="39">
                  <c:v>3.1415926535897971</c:v>
                </c:pt>
                <c:pt idx="40">
                  <c:v>3.1415926535897971</c:v>
                </c:pt>
                <c:pt idx="41">
                  <c:v>3.1415926535897971</c:v>
                </c:pt>
                <c:pt idx="42">
                  <c:v>3.1415926535897971</c:v>
                </c:pt>
                <c:pt idx="43">
                  <c:v>3.1415926535897971</c:v>
                </c:pt>
                <c:pt idx="44">
                  <c:v>3.1415926535897971</c:v>
                </c:pt>
                <c:pt idx="45">
                  <c:v>3.1415926535897971</c:v>
                </c:pt>
                <c:pt idx="46">
                  <c:v>3.1415926535897971</c:v>
                </c:pt>
                <c:pt idx="47">
                  <c:v>3.1415926535897971</c:v>
                </c:pt>
                <c:pt idx="48">
                  <c:v>3.1415926535897971</c:v>
                </c:pt>
                <c:pt idx="49">
                  <c:v>3.1415926535897971</c:v>
                </c:pt>
                <c:pt idx="50">
                  <c:v>3.1415926535897971</c:v>
                </c:pt>
                <c:pt idx="51">
                  <c:v>3.1415926535897971</c:v>
                </c:pt>
                <c:pt idx="52">
                  <c:v>3.1415926535897971</c:v>
                </c:pt>
                <c:pt idx="53">
                  <c:v>3.1415926535897971</c:v>
                </c:pt>
                <c:pt idx="54">
                  <c:v>3.1415926535897971</c:v>
                </c:pt>
                <c:pt idx="55">
                  <c:v>3.1415926535897971</c:v>
                </c:pt>
                <c:pt idx="56">
                  <c:v>3.1415926535897971</c:v>
                </c:pt>
                <c:pt idx="57">
                  <c:v>3.1415926535897971</c:v>
                </c:pt>
                <c:pt idx="58">
                  <c:v>3.1415926535897971</c:v>
                </c:pt>
                <c:pt idx="59">
                  <c:v>3.1415926535897971</c:v>
                </c:pt>
                <c:pt idx="60">
                  <c:v>3.1415926535897971</c:v>
                </c:pt>
                <c:pt idx="61">
                  <c:v>3.1415926535897971</c:v>
                </c:pt>
                <c:pt idx="62">
                  <c:v>3.1415926535897971</c:v>
                </c:pt>
                <c:pt idx="63">
                  <c:v>3.1415926535897971</c:v>
                </c:pt>
                <c:pt idx="64">
                  <c:v>3.1415926535897971</c:v>
                </c:pt>
                <c:pt idx="65">
                  <c:v>3.1415926535897971</c:v>
                </c:pt>
                <c:pt idx="66">
                  <c:v>3.1415926535897971</c:v>
                </c:pt>
                <c:pt idx="67">
                  <c:v>3.1415926535897971</c:v>
                </c:pt>
                <c:pt idx="68">
                  <c:v>3.1415926535897971</c:v>
                </c:pt>
                <c:pt idx="69">
                  <c:v>3.1415926535897971</c:v>
                </c:pt>
                <c:pt idx="70">
                  <c:v>3.1415926535897971</c:v>
                </c:pt>
                <c:pt idx="71">
                  <c:v>3.1415926535897971</c:v>
                </c:pt>
                <c:pt idx="72">
                  <c:v>3.1415926535897971</c:v>
                </c:pt>
                <c:pt idx="73">
                  <c:v>3.1415926535897971</c:v>
                </c:pt>
                <c:pt idx="74">
                  <c:v>3.1415926535897971</c:v>
                </c:pt>
                <c:pt idx="75">
                  <c:v>3.1415926535897971</c:v>
                </c:pt>
                <c:pt idx="76">
                  <c:v>3.1415926535897971</c:v>
                </c:pt>
                <c:pt idx="77">
                  <c:v>3.1415926535897971</c:v>
                </c:pt>
                <c:pt idx="78">
                  <c:v>3.1415926535897971</c:v>
                </c:pt>
                <c:pt idx="79">
                  <c:v>3.1415926535897971</c:v>
                </c:pt>
                <c:pt idx="80">
                  <c:v>3.1415926535897971</c:v>
                </c:pt>
                <c:pt idx="81">
                  <c:v>3.1415926535897971</c:v>
                </c:pt>
                <c:pt idx="82">
                  <c:v>3.1415926535897971</c:v>
                </c:pt>
                <c:pt idx="83">
                  <c:v>3.1415926535897971</c:v>
                </c:pt>
                <c:pt idx="84">
                  <c:v>3.1415926535897971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A3-A049-B788-84FEE065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9026239"/>
        <c:axId val="1534723359"/>
      </c:lineChart>
      <c:catAx>
        <c:axId val="138902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4723359"/>
        <c:crosses val="autoZero"/>
        <c:auto val="1"/>
        <c:lblAlgn val="ctr"/>
        <c:lblOffset val="100"/>
        <c:noMultiLvlLbl val="0"/>
      </c:catAx>
      <c:valAx>
        <c:axId val="153472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89026239"/>
        <c:crosses val="autoZero"/>
        <c:crossBetween val="between"/>
      </c:valAx>
      <c:spPr>
        <a:noFill/>
        <a:ln w="3175">
          <a:solidFill>
            <a:schemeClr val="accent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dbl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26</xdr:row>
      <xdr:rowOff>120650</xdr:rowOff>
    </xdr:from>
    <xdr:to>
      <xdr:col>6</xdr:col>
      <xdr:colOff>463550</xdr:colOff>
      <xdr:row>40</xdr:row>
      <xdr:rowOff>19050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704B7813-3EF3-633E-A1E9-846D9CF682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38100</xdr:colOff>
      <xdr:row>18</xdr:row>
      <xdr:rowOff>44450</xdr:rowOff>
    </xdr:from>
    <xdr:ext cx="704745" cy="53694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pole tekstowe 1">
              <a:extLst>
                <a:ext uri="{FF2B5EF4-FFF2-40B4-BE49-F238E27FC236}">
                  <a16:creationId xmlns:a16="http://schemas.microsoft.com/office/drawing/2014/main" id="{F5AE4F8F-51FB-DB8C-DC94-F39F9D61BF51}"/>
                </a:ext>
              </a:extLst>
            </xdr:cNvPr>
            <xdr:cNvSpPr txBox="1"/>
          </xdr:nvSpPr>
          <xdr:spPr>
            <a:xfrm>
              <a:off x="6642100" y="3702050"/>
              <a:ext cx="704745" cy="5369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pl-PL" sz="1100" b="0" i="0" u="none" strike="noStrike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      </m:t>
                    </m:r>
                  </m:oMath>
                </m:oMathPara>
              </a14:m>
              <a:endParaRPr lang="pl-PL">
                <a:effectLst/>
              </a:endParaRPr>
            </a:p>
            <a:p>
              <a:br>
                <a:rPr lang="pl-PL"/>
              </a:br>
              <a:endParaRPr lang="pl-PL" sz="1100"/>
            </a:p>
          </xdr:txBody>
        </xdr:sp>
      </mc:Choice>
      <mc:Fallback>
        <xdr:sp macro="" textlink="">
          <xdr:nvSpPr>
            <xdr:cNvPr id="2" name="pole tekstowe 1">
              <a:extLst>
                <a:ext uri="{FF2B5EF4-FFF2-40B4-BE49-F238E27FC236}">
                  <a16:creationId xmlns:a16="http://schemas.microsoft.com/office/drawing/2014/main" id="{F5AE4F8F-51FB-DB8C-DC94-F39F9D61BF51}"/>
                </a:ext>
              </a:extLst>
            </xdr:cNvPr>
            <xdr:cNvSpPr txBox="1"/>
          </xdr:nvSpPr>
          <xdr:spPr>
            <a:xfrm>
              <a:off x="6642100" y="3702050"/>
              <a:ext cx="704745" cy="5369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l-PL" sz="1100" b="0" i="0" u="none" strike="noStrike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       </a:t>
              </a:r>
              <a:r>
                <a:rPr lang="pl-PL" sz="1100" b="0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pl-PL">
                <a:effectLst/>
              </a:endParaRPr>
            </a:p>
            <a:p>
              <a:br>
                <a:rPr lang="pl-PL"/>
              </a:br>
              <a:endParaRPr lang="pl-PL" sz="1100"/>
            </a:p>
          </xdr:txBody>
        </xdr:sp>
      </mc:Fallback>
    </mc:AlternateContent>
    <xdr:clientData/>
  </xdr:oneCellAnchor>
  <xdr:twoCellAnchor>
    <xdr:from>
      <xdr:col>7</xdr:col>
      <xdr:colOff>85118</xdr:colOff>
      <xdr:row>3</xdr:row>
      <xdr:rowOff>153438</xdr:rowOff>
    </xdr:from>
    <xdr:to>
      <xdr:col>13</xdr:col>
      <xdr:colOff>52783</xdr:colOff>
      <xdr:row>17</xdr:row>
      <xdr:rowOff>51837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BFFDD368-EA16-D18A-56C1-21BFB0F1D4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0.01019</cdr:x>
      <cdr:y>0.01815</cdr:y>
    </cdr:from>
    <cdr:to>
      <cdr:x>0.0102</cdr:x>
      <cdr:y>0.07964</cdr:y>
    </cdr:to>
    <cdr:sp macro="" textlink="">
      <cdr:nvSpPr>
        <cdr:cNvPr id="3" name="pole tekstowe 7">
          <a:extLst xmlns:a="http://schemas.openxmlformats.org/drawingml/2006/main">
            <a:ext uri="{FF2B5EF4-FFF2-40B4-BE49-F238E27FC236}">
              <a16:creationId xmlns:a16="http://schemas.microsoft.com/office/drawing/2014/main" id="{AE399B9D-72BF-0F33-D8E7-B0875568CBA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65" cy="17209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/>
          <a:endParaRPr lang="pl-PL" sz="1100"/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A9309B-F7AC-294C-9E2E-1A84EE8B1A11}" name="Tabela2" displayName="Tabela2" ref="A1:F86" totalsRowShown="0">
  <autoFilter ref="A1:F86" xr:uid="{18A9309B-F7AC-294C-9E2E-1A84EE8B1A11}"/>
  <tableColumns count="6">
    <tableColumn id="1" xr3:uid="{086946FD-35F9-9842-97FF-DF8D10592BA7}" name="Kolumna1"/>
    <tableColumn id="2" xr3:uid="{B5B7AF42-EA20-C64B-A9B0-1EFD064D56E3}" name="Newton">
      <calculatedColumnFormula xml:space="preserve"> B1 + 2^(A2 + 1) * FACT(A2)^2  / FACT(A2 * 2 + 1)</calculatedColumnFormula>
    </tableColumn>
    <tableColumn id="3" xr3:uid="{85E8521D-BD07-0A4C-B7FE-649ACFBBD9DE}" name="Wallis">
      <calculatedColumnFormula xml:space="preserve"> (4*(A2^2)/((2*A2-1)*(2*A2+1)))*C1</calculatedColumnFormula>
    </tableColumn>
    <tableColumn id="4" xr3:uid="{3F505CE8-C997-0840-9B58-A5B70A2C53D7}" name="Leibniz">
      <calculatedColumnFormula>D1 + 4*(((-1)^A2) / (2*A2 + 1))</calculatedColumnFormula>
    </tableColumn>
    <tableColumn id="5" xr3:uid="{25CC04EE-DDC8-C645-9854-AB2FF81B759A}" name="Viet">
      <calculatedColumnFormula>E1 * (2 / F2)</calculatedColumnFormula>
    </tableColumn>
    <tableColumn id="6" xr3:uid="{BFB50C64-D83B-4848-90B1-DF115A483840}" name="an">
      <calculatedColumnFormula xml:space="preserve"> SQRT(2 + F1)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89BCD0-6B1E-3440-9B53-6E82D59A8CDF}" name="Tabela5" displayName="Tabela5" ref="H1:L3" totalsRowShown="0">
  <autoFilter ref="H1:L3" xr:uid="{8689BCD0-6B1E-3440-9B53-6E82D59A8CDF}"/>
  <tableColumns count="5">
    <tableColumn id="1" xr3:uid="{1D60BBF0-6249-6444-B910-1684BDC3DBE2}" name="Kolumna1"/>
    <tableColumn id="2" xr3:uid="{93494605-1DA1-0849-9071-7296AEFABB67}" name="Newton">
      <calculatedColumnFormula xml:space="preserve"> MIN(I1:L1)</calculatedColumnFormula>
    </tableColumn>
    <tableColumn id="3" xr3:uid="{28B62987-C0B7-174B-A1E7-DC6A1C3528D9}" name="Wallis"/>
    <tableColumn id="4" xr3:uid="{1B0FFC9D-6233-6046-9B72-358F80967933}" name="Leibniz"/>
    <tableColumn id="5" xr3:uid="{94F7E293-001F-6E41-A655-2A88739BAB63}" name="Vi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16F9C-1D30-AB42-9BD6-341FF1C93151}">
  <sheetPr codeName="Arkusz1"/>
  <dimension ref="A1:U25"/>
  <sheetViews>
    <sheetView topLeftCell="A4" zoomScaleNormal="100" workbookViewId="0">
      <selection activeCell="B2" sqref="B2"/>
    </sheetView>
  </sheetViews>
  <sheetFormatPr baseColWidth="10" defaultRowHeight="16" x14ac:dyDescent="0.2"/>
  <sheetData>
    <row r="1" spans="1:21" x14ac:dyDescent="0.2">
      <c r="A1" t="s">
        <v>6</v>
      </c>
      <c r="B1">
        <v>-10</v>
      </c>
      <c r="D1" t="s">
        <v>8</v>
      </c>
      <c r="E1">
        <v>-10</v>
      </c>
    </row>
    <row r="2" spans="1:21" x14ac:dyDescent="0.2">
      <c r="A2" t="s">
        <v>7</v>
      </c>
      <c r="B2">
        <v>10</v>
      </c>
      <c r="D2" t="s">
        <v>9</v>
      </c>
      <c r="E2">
        <v>10</v>
      </c>
    </row>
    <row r="3" spans="1:21" x14ac:dyDescent="0.2">
      <c r="A3" t="s">
        <v>4</v>
      </c>
      <c r="B3">
        <f>(-B1 + B2) / 20</f>
        <v>1</v>
      </c>
      <c r="D3" t="s">
        <v>5</v>
      </c>
      <c r="E3">
        <f>(-E1 + E2) / 20</f>
        <v>1</v>
      </c>
    </row>
    <row r="5" spans="1:21" x14ac:dyDescent="0.2">
      <c r="B5">
        <f>E1</f>
        <v>-10</v>
      </c>
      <c r="C5">
        <f>B5 +$E$3</f>
        <v>-9</v>
      </c>
      <c r="D5">
        <f t="shared" ref="D5:V5" si="0">C5 +$E$3</f>
        <v>-8</v>
      </c>
      <c r="E5">
        <f t="shared" si="0"/>
        <v>-7</v>
      </c>
      <c r="F5">
        <f t="shared" si="0"/>
        <v>-6</v>
      </c>
      <c r="G5">
        <f t="shared" si="0"/>
        <v>-5</v>
      </c>
      <c r="H5">
        <f t="shared" si="0"/>
        <v>-4</v>
      </c>
      <c r="I5">
        <f t="shared" si="0"/>
        <v>-3</v>
      </c>
      <c r="J5">
        <f t="shared" si="0"/>
        <v>-2</v>
      </c>
      <c r="K5">
        <f t="shared" si="0"/>
        <v>-1</v>
      </c>
      <c r="L5">
        <f t="shared" si="0"/>
        <v>0</v>
      </c>
      <c r="M5">
        <f>L5 +$E$3</f>
        <v>1</v>
      </c>
      <c r="N5">
        <f t="shared" si="0"/>
        <v>2</v>
      </c>
      <c r="O5">
        <f t="shared" si="0"/>
        <v>3</v>
      </c>
      <c r="P5">
        <f t="shared" si="0"/>
        <v>4</v>
      </c>
      <c r="Q5">
        <f t="shared" si="0"/>
        <v>5</v>
      </c>
      <c r="R5">
        <f t="shared" si="0"/>
        <v>6</v>
      </c>
      <c r="S5">
        <f t="shared" si="0"/>
        <v>7</v>
      </c>
      <c r="T5">
        <f t="shared" si="0"/>
        <v>8</v>
      </c>
      <c r="U5">
        <f t="shared" si="0"/>
        <v>9</v>
      </c>
    </row>
    <row r="6" spans="1:21" x14ac:dyDescent="0.2">
      <c r="A6">
        <f>B1</f>
        <v>-10</v>
      </c>
      <c r="B6" cm="1">
        <f t="array" ref="B6">funkcja_dwoch_zmiennych($A6,B$5)</f>
        <v>7.0213322112723839E-2</v>
      </c>
      <c r="C6" cm="1">
        <f t="array" ref="C6">funkcja_dwoch_zmiennych($A6,C$5)</f>
        <v>5.7205371312972299E-2</v>
      </c>
      <c r="D6" cm="1">
        <f t="array" ref="D6">funkcja_dwoch_zmiennych($A6,D$5)</f>
        <v>1.8408446605443881E-2</v>
      </c>
      <c r="E6" cm="1">
        <f t="array" ref="E6">funkcja_dwoch_zmiennych($A6,E$5)</f>
        <v>-2.8610855550739372E-2</v>
      </c>
      <c r="F6" cm="1">
        <f t="array" ref="F6">funkcja_dwoch_zmiennych($A6,F$5)</f>
        <v>-6.6834053613210723E-2</v>
      </c>
      <c r="G6" cm="1">
        <f t="array" ref="G6">funkcja_dwoch_zmiennych($A6,G$5)</f>
        <v>-8.7140932853959532E-2</v>
      </c>
      <c r="H6" cm="1">
        <f t="array" ref="H6">funkcja_dwoch_zmiennych($A6,H$5)</f>
        <v>-8.9669727074617581E-2</v>
      </c>
      <c r="I6" cm="1">
        <f t="array" ref="I6">funkcja_dwoch_zmiennych($A6,I$5)</f>
        <v>-8.0619980539883049E-2</v>
      </c>
      <c r="J6" cm="1">
        <f t="array" ref="J6">funkcja_dwoch_zmiennych($A6,J$5)</f>
        <v>-6.7825795325476418E-2</v>
      </c>
      <c r="K6" cm="1">
        <f t="array" ref="K6">funkcja_dwoch_zmiennych($A6,K$5)</f>
        <v>-5.7653560589034113E-2</v>
      </c>
      <c r="L6" cm="1">
        <f t="array" ref="L6">funkcja_dwoch_zmiennych($A6,L$5)</f>
        <v>-5.3863476325680178E-2</v>
      </c>
      <c r="M6" cm="1">
        <f t="array" ref="M6">funkcja_dwoch_zmiennych($A6,M$5)</f>
        <v>-5.7653560589034113E-2</v>
      </c>
      <c r="N6" cm="1">
        <f t="array" ref="N6">funkcja_dwoch_zmiennych($A6,N$5)</f>
        <v>-6.7825795325476418E-2</v>
      </c>
      <c r="O6" cm="1">
        <f t="array" ref="O6">funkcja_dwoch_zmiennych($A6,O$5)</f>
        <v>-8.0619980539883049E-2</v>
      </c>
      <c r="P6" cm="1">
        <f t="array" ref="P6">funkcja_dwoch_zmiennych($A6,P$5)</f>
        <v>-8.9669727074617581E-2</v>
      </c>
      <c r="Q6" cm="1">
        <f t="array" ref="Q6">funkcja_dwoch_zmiennych($A6,Q$5)</f>
        <v>-8.7140932853959532E-2</v>
      </c>
      <c r="R6" cm="1">
        <f t="array" ref="R6">funkcja_dwoch_zmiennych($A6,R$5)</f>
        <v>-6.6834053613210723E-2</v>
      </c>
      <c r="S6" cm="1">
        <f t="array" ref="S6">funkcja_dwoch_zmiennych($A6,S$5)</f>
        <v>-2.8610855550739372E-2</v>
      </c>
      <c r="T6" cm="1">
        <f t="array" ref="T6">funkcja_dwoch_zmiennych($A6,T$5)</f>
        <v>1.8408446605443881E-2</v>
      </c>
      <c r="U6" cm="1">
        <f t="array" ref="U6">funkcja_dwoch_zmiennych($A6,U$5)</f>
        <v>5.7205371312972299E-2</v>
      </c>
    </row>
    <row r="7" spans="1:21" x14ac:dyDescent="0.2">
      <c r="A7">
        <f>A6+$B$3</f>
        <v>-9</v>
      </c>
      <c r="B7" cm="1">
        <f t="array" ref="B7">funkcja_dwoch_zmiennych($A7,B$5)</f>
        <v>5.7205371312972299E-2</v>
      </c>
      <c r="C7" cm="1">
        <f t="array" ref="C7">funkcja_dwoch_zmiennych($A7,C$5)</f>
        <v>1.2539025751622282E-2</v>
      </c>
      <c r="D7" cm="1">
        <f t="array" ref="D7">funkcja_dwoch_zmiennych($A7,D$5)</f>
        <v>-4.1264694440881371E-2</v>
      </c>
      <c r="E7" cm="1">
        <f t="array" ref="E7">funkcja_dwoch_zmiennych($A7,E$5)</f>
        <v>-7.9869279908175841E-2</v>
      </c>
      <c r="F7" cm="1">
        <f t="array" ref="F7">funkcja_dwoch_zmiennych($A7,F$5)</f>
        <v>-9.014084393330625E-2</v>
      </c>
      <c r="G7" cm="1">
        <f t="array" ref="G7">funkcja_dwoch_zmiennych($A7,G$5)</f>
        <v>-7.3576893125370316E-2</v>
      </c>
      <c r="H7" cm="1">
        <f t="array" ref="H7">funkcja_dwoch_zmiennych($A7,H$5)</f>
        <v>-4.1359753555614609E-2</v>
      </c>
      <c r="I7" cm="1">
        <f t="array" ref="I7">funkcja_dwoch_zmiennych($A7,I$5)</f>
        <v>-6.4687890520678743E-3</v>
      </c>
      <c r="J7" cm="1">
        <f t="array" ref="J7">funkcja_dwoch_zmiennych($A7,J$5)</f>
        <v>2.1867567608111083E-2</v>
      </c>
      <c r="K7" cm="1">
        <f t="array" ref="K7">funkcja_dwoch_zmiennych($A7,K$5)</f>
        <v>3.9435727916519343E-2</v>
      </c>
      <c r="L7" cm="1">
        <f t="array" ref="L7">funkcja_dwoch_zmiennych($A7,L$5)</f>
        <v>4.5287745630962266E-2</v>
      </c>
      <c r="M7" cm="1">
        <f t="array" ref="M7">funkcja_dwoch_zmiennych($A7,M$5)</f>
        <v>3.9435727916519343E-2</v>
      </c>
      <c r="N7" cm="1">
        <f t="array" ref="N7">funkcja_dwoch_zmiennych($A7,N$5)</f>
        <v>2.1867567608111083E-2</v>
      </c>
      <c r="O7" cm="1">
        <f t="array" ref="O7">funkcja_dwoch_zmiennych($A7,O$5)</f>
        <v>-6.4687890520678743E-3</v>
      </c>
      <c r="P7" cm="1">
        <f t="array" ref="P7">funkcja_dwoch_zmiennych($A7,P$5)</f>
        <v>-4.1359753555614609E-2</v>
      </c>
      <c r="Q7" cm="1">
        <f t="array" ref="Q7">funkcja_dwoch_zmiennych($A7,Q$5)</f>
        <v>-7.3576893125370316E-2</v>
      </c>
      <c r="R7" cm="1">
        <f t="array" ref="R7">funkcja_dwoch_zmiennych($A7,R$5)</f>
        <v>-9.014084393330625E-2</v>
      </c>
      <c r="S7" cm="1">
        <f t="array" ref="S7">funkcja_dwoch_zmiennych($A7,S$5)</f>
        <v>-7.9869279908175841E-2</v>
      </c>
      <c r="T7" cm="1">
        <f t="array" ref="T7">funkcja_dwoch_zmiennych($A7,T$5)</f>
        <v>-4.1264694440881371E-2</v>
      </c>
      <c r="U7" cm="1">
        <f t="array" ref="U7">funkcja_dwoch_zmiennych($A7,U$5)</f>
        <v>1.2539025751622282E-2</v>
      </c>
    </row>
    <row r="8" spans="1:21" x14ac:dyDescent="0.2">
      <c r="A8">
        <f t="shared" ref="A8:A26" si="1">A7+$B$3</f>
        <v>-8</v>
      </c>
      <c r="B8" cm="1">
        <f t="array" ref="B8">funkcja_dwoch_zmiennych($A8,B$5)</f>
        <v>1.8408446605443881E-2</v>
      </c>
      <c r="C8" cm="1">
        <f t="array" ref="C8">funkcja_dwoch_zmiennych($A8,C$5)</f>
        <v>-4.1264694440881371E-2</v>
      </c>
      <c r="D8" cm="1">
        <f t="array" ref="D8">funkcja_dwoch_zmiennych($A8,D$5)</f>
        <v>-8.3217534449881794E-2</v>
      </c>
      <c r="E8" cm="1">
        <f t="array" ref="E8">funkcja_dwoch_zmiennych($A8,E$5)</f>
        <v>-8.7041755809558863E-2</v>
      </c>
      <c r="F8" cm="1">
        <f t="array" ref="F8">funkcja_dwoch_zmiennych($A8,F$5)</f>
        <v>-5.3863476325680178E-2</v>
      </c>
      <c r="G8" cm="1">
        <f t="array" ref="G8">funkcja_dwoch_zmiennych($A8,G$5)</f>
        <v>-9.6528839785945048E-4</v>
      </c>
      <c r="H8" cm="1">
        <f t="array" ref="H8">funkcja_dwoch_zmiennych($A8,H$5)</f>
        <v>5.1107262746848695E-2</v>
      </c>
      <c r="I8" cm="1">
        <f t="array" ref="I8">funkcja_dwoch_zmiennych($A8,I$5)</f>
        <v>8.9221611054293132E-2</v>
      </c>
      <c r="J8" cm="1">
        <f t="array" ref="J8">funkcja_dwoch_zmiennych($A8,J$5)</f>
        <v>0.11071599545486101</v>
      </c>
      <c r="K8" cm="1">
        <f t="array" ref="K8">funkcja_dwoch_zmiennych($A8,K$5)</f>
        <v>0.11986742547288094</v>
      </c>
      <c r="L8" cm="1">
        <f t="array" ref="L8">funkcja_dwoch_zmiennych($A8,L$5)</f>
        <v>0.12214299341029405</v>
      </c>
      <c r="M8" cm="1">
        <f t="array" ref="M8">funkcja_dwoch_zmiennych($A8,M$5)</f>
        <v>0.11986742547288094</v>
      </c>
      <c r="N8" cm="1">
        <f t="array" ref="N8">funkcja_dwoch_zmiennych($A8,N$5)</f>
        <v>0.11071599545486101</v>
      </c>
      <c r="O8" cm="1">
        <f t="array" ref="O8">funkcja_dwoch_zmiennych($A8,O$5)</f>
        <v>8.9221611054293132E-2</v>
      </c>
      <c r="P8" cm="1">
        <f t="array" ref="P8">funkcja_dwoch_zmiennych($A8,P$5)</f>
        <v>5.1107262746848695E-2</v>
      </c>
      <c r="Q8" cm="1">
        <f t="array" ref="Q8">funkcja_dwoch_zmiennych($A8,Q$5)</f>
        <v>-9.6528839785945048E-4</v>
      </c>
      <c r="R8" cm="1">
        <f t="array" ref="R8">funkcja_dwoch_zmiennych($A8,R$5)</f>
        <v>-5.3863476325680178E-2</v>
      </c>
      <c r="S8" cm="1">
        <f t="array" ref="S8">funkcja_dwoch_zmiennych($A8,S$5)</f>
        <v>-8.7041755809558863E-2</v>
      </c>
      <c r="T8" cm="1">
        <f t="array" ref="T8">funkcja_dwoch_zmiennych($A8,T$5)</f>
        <v>-8.3217534449881794E-2</v>
      </c>
      <c r="U8" cm="1">
        <f t="array" ref="U8">funkcja_dwoch_zmiennych($A8,U$5)</f>
        <v>-4.1264694440881371E-2</v>
      </c>
    </row>
    <row r="9" spans="1:21" x14ac:dyDescent="0.2">
      <c r="A9">
        <f t="shared" si="1"/>
        <v>-7</v>
      </c>
      <c r="B9" cm="1">
        <f t="array" ref="B9">funkcja_dwoch_zmiennych($A9,B$5)</f>
        <v>-2.8610855550739372E-2</v>
      </c>
      <c r="C9" cm="1">
        <f t="array" ref="C9">funkcja_dwoch_zmiennych($A9,C$5)</f>
        <v>-7.9869279908175841E-2</v>
      </c>
      <c r="D9" cm="1">
        <f t="array" ref="D9">funkcja_dwoch_zmiennych($A9,D$5)</f>
        <v>-8.7041755809558863E-2</v>
      </c>
      <c r="E9" cm="1">
        <f t="array" ref="E9">funkcja_dwoch_zmiennych($A9,E$5)</f>
        <v>-4.5710982448548022E-2</v>
      </c>
      <c r="F9" cm="1">
        <f t="array" ref="F9">funkcja_dwoch_zmiennych($A9,F$5)</f>
        <v>2.1867567608111083E-2</v>
      </c>
      <c r="G9" cm="1">
        <f t="array" ref="G9">funkcja_dwoch_zmiennych($A9,G$5)</f>
        <v>8.4209321768477521E-2</v>
      </c>
      <c r="H9" cm="1">
        <f t="array" ref="H9">funkcja_dwoch_zmiennych($A9,H$5)</f>
        <v>0.11986742547288094</v>
      </c>
      <c r="I9" cm="1">
        <f t="array" ref="I9">funkcja_dwoch_zmiennych($A9,I$5)</f>
        <v>0.12594489757185887</v>
      </c>
      <c r="J9" cm="1">
        <f t="array" ref="J9">funkcja_dwoch_zmiennych($A9,J$5)</f>
        <v>0.11379306883619703</v>
      </c>
      <c r="K9" cm="1">
        <f t="array" ref="K9">funkcja_dwoch_zmiennych($A9,K$5)</f>
        <v>9.8850172726736366E-2</v>
      </c>
      <c r="L9" cm="1">
        <f t="array" ref="L9">funkcja_dwoch_zmiennych($A9,L$5)</f>
        <v>9.2533323763209732E-2</v>
      </c>
      <c r="M9" cm="1">
        <f t="array" ref="M9">funkcja_dwoch_zmiennych($A9,M$5)</f>
        <v>9.8850172726736366E-2</v>
      </c>
      <c r="N9" cm="1">
        <f t="array" ref="N9">funkcja_dwoch_zmiennych($A9,N$5)</f>
        <v>0.11379306883619703</v>
      </c>
      <c r="O9" cm="1">
        <f t="array" ref="O9">funkcja_dwoch_zmiennych($A9,O$5)</f>
        <v>0.12594489757185887</v>
      </c>
      <c r="P9" cm="1">
        <f t="array" ref="P9">funkcja_dwoch_zmiennych($A9,P$5)</f>
        <v>0.11986742547288094</v>
      </c>
      <c r="Q9" cm="1">
        <f t="array" ref="Q9">funkcja_dwoch_zmiennych($A9,Q$5)</f>
        <v>8.4209321768477521E-2</v>
      </c>
      <c r="R9" cm="1">
        <f t="array" ref="R9">funkcja_dwoch_zmiennych($A9,R$5)</f>
        <v>2.1867567608111083E-2</v>
      </c>
      <c r="S9" cm="1">
        <f t="array" ref="S9">funkcja_dwoch_zmiennych($A9,S$5)</f>
        <v>-4.5710982448548022E-2</v>
      </c>
      <c r="T9" cm="1">
        <f t="array" ref="T9">funkcja_dwoch_zmiennych($A9,T$5)</f>
        <v>-8.7041755809558863E-2</v>
      </c>
      <c r="U9" cm="1">
        <f t="array" ref="U9">funkcja_dwoch_zmiennych($A9,U$5)</f>
        <v>-7.9869279908175841E-2</v>
      </c>
    </row>
    <row r="10" spans="1:21" x14ac:dyDescent="0.2">
      <c r="A10">
        <f t="shared" si="1"/>
        <v>-6</v>
      </c>
      <c r="B10" cm="1">
        <f t="array" ref="B10">funkcja_dwoch_zmiennych($A10,B$5)</f>
        <v>-6.6834053613210723E-2</v>
      </c>
      <c r="C10" cm="1">
        <f t="array" ref="C10">funkcja_dwoch_zmiennych($A10,C$5)</f>
        <v>-9.014084393330625E-2</v>
      </c>
      <c r="D10" cm="1">
        <f t="array" ref="D10">funkcja_dwoch_zmiennych($A10,D$5)</f>
        <v>-5.3863476325680178E-2</v>
      </c>
      <c r="E10" cm="1">
        <f t="array" ref="E10">funkcja_dwoch_zmiennych($A10,E$5)</f>
        <v>2.1867567608111083E-2</v>
      </c>
      <c r="F10" cm="1">
        <f t="array" ref="F10">funkcja_dwoch_zmiennych($A10,F$5)</f>
        <v>9.402849547557561E-2</v>
      </c>
      <c r="G10" cm="1">
        <f t="array" ref="G10">funkcja_dwoch_zmiennych($A10,G$5)</f>
        <v>0.12629739278076232</v>
      </c>
      <c r="H10" cm="1">
        <f t="array" ref="H10">funkcja_dwoch_zmiennych($A10,H$5)</f>
        <v>0.1094736471116801</v>
      </c>
      <c r="I10" cm="1">
        <f t="array" ref="I10">funkcja_dwoch_zmiennych($A10,I$5)</f>
        <v>6.0564835329230252E-2</v>
      </c>
      <c r="J10" cm="1">
        <f t="array" ref="J10">funkcja_dwoch_zmiennych($A10,J$5)</f>
        <v>6.4375215809187062E-3</v>
      </c>
      <c r="K10" cm="1">
        <f t="array" ref="K10">funkcja_dwoch_zmiennych($A10,K$5)</f>
        <v>-3.2199791200669042E-2</v>
      </c>
      <c r="L10" cm="1">
        <f t="array" ref="L10">funkcja_dwoch_zmiennych($A10,L$5)</f>
        <v>-4.5805819376873093E-2</v>
      </c>
      <c r="M10" cm="1">
        <f t="array" ref="M10">funkcja_dwoch_zmiennych($A10,M$5)</f>
        <v>-3.2199791200669042E-2</v>
      </c>
      <c r="N10" cm="1">
        <f t="array" ref="N10">funkcja_dwoch_zmiennych($A10,N$5)</f>
        <v>6.4375215809187062E-3</v>
      </c>
      <c r="O10" cm="1">
        <f t="array" ref="O10">funkcja_dwoch_zmiennych($A10,O$5)</f>
        <v>6.0564835329230252E-2</v>
      </c>
      <c r="P10" cm="1">
        <f t="array" ref="P10">funkcja_dwoch_zmiennych($A10,P$5)</f>
        <v>0.1094736471116801</v>
      </c>
      <c r="Q10" cm="1">
        <f t="array" ref="Q10">funkcja_dwoch_zmiennych($A10,Q$5)</f>
        <v>0.12629739278076232</v>
      </c>
      <c r="R10" cm="1">
        <f t="array" ref="R10">funkcja_dwoch_zmiennych($A10,R$5)</f>
        <v>9.402849547557561E-2</v>
      </c>
      <c r="S10" cm="1">
        <f t="array" ref="S10">funkcja_dwoch_zmiennych($A10,S$5)</f>
        <v>2.1867567608111083E-2</v>
      </c>
      <c r="T10" cm="1">
        <f t="array" ref="T10">funkcja_dwoch_zmiennych($A10,T$5)</f>
        <v>-5.3863476325680178E-2</v>
      </c>
      <c r="U10" cm="1">
        <f t="array" ref="U10">funkcja_dwoch_zmiennych($A10,U$5)</f>
        <v>-9.014084393330625E-2</v>
      </c>
    </row>
    <row r="11" spans="1:21" x14ac:dyDescent="0.2">
      <c r="A11">
        <f t="shared" si="1"/>
        <v>-5</v>
      </c>
      <c r="B11" cm="1">
        <f t="array" ref="B11">funkcja_dwoch_zmiennych($A11,B$5)</f>
        <v>-8.7140932853959532E-2</v>
      </c>
      <c r="C11" cm="1">
        <f t="array" ref="C11">funkcja_dwoch_zmiennych($A11,C$5)</f>
        <v>-7.3576893125370316E-2</v>
      </c>
      <c r="D11" cm="1">
        <f t="array" ref="D11">funkcja_dwoch_zmiennych($A11,D$5)</f>
        <v>-9.6528839785945048E-4</v>
      </c>
      <c r="E11" cm="1">
        <f t="array" ref="E11">funkcja_dwoch_zmiennych($A11,E$5)</f>
        <v>8.4209321768477521E-2</v>
      </c>
      <c r="F11" cm="1">
        <f t="array" ref="F11">funkcja_dwoch_zmiennych($A11,F$5)</f>
        <v>0.12629739278076232</v>
      </c>
      <c r="G11" cm="1">
        <f t="array" ref="G11">funkcja_dwoch_zmiennych($A11,G$5)</f>
        <v>9.8850172726736366E-2</v>
      </c>
      <c r="H11" cm="1">
        <f t="array" ref="H11">funkcja_dwoch_zmiennych($A11,H$5)</f>
        <v>1.8399091286775922E-2</v>
      </c>
      <c r="I11" cm="1">
        <f t="array" ref="I11">funkcja_dwoch_zmiennych($A11,I$5)</f>
        <v>-7.3677130588744283E-2</v>
      </c>
      <c r="J11" cm="1">
        <f t="array" ref="J11">funkcja_dwoch_zmiennych($A11,J$5)</f>
        <v>-0.14258366454335114</v>
      </c>
      <c r="K11" cm="1">
        <f t="array" ref="K11">funkcja_dwoch_zmiennych($A11,K$5)</f>
        <v>-0.17814605943836345</v>
      </c>
      <c r="L11" cm="1">
        <f t="array" ref="L11">funkcja_dwoch_zmiennych($A11,L$5)</f>
        <v>-0.18802436758100755</v>
      </c>
      <c r="M11" cm="1">
        <f t="array" ref="M11">funkcja_dwoch_zmiennych($A11,M$5)</f>
        <v>-0.17814605943836345</v>
      </c>
      <c r="N11" cm="1">
        <f t="array" ref="N11">funkcja_dwoch_zmiennych($A11,N$5)</f>
        <v>-0.14258366454335114</v>
      </c>
      <c r="O11" cm="1">
        <f t="array" ref="O11">funkcja_dwoch_zmiennych($A11,O$5)</f>
        <v>-7.3677130588744283E-2</v>
      </c>
      <c r="P11" cm="1">
        <f t="array" ref="P11">funkcja_dwoch_zmiennych($A11,P$5)</f>
        <v>1.8399091286775922E-2</v>
      </c>
      <c r="Q11" cm="1">
        <f t="array" ref="Q11">funkcja_dwoch_zmiennych($A11,Q$5)</f>
        <v>9.8850172726736366E-2</v>
      </c>
      <c r="R11" cm="1">
        <f t="array" ref="R11">funkcja_dwoch_zmiennych($A11,R$5)</f>
        <v>0.12629739278076232</v>
      </c>
      <c r="S11" cm="1">
        <f t="array" ref="S11">funkcja_dwoch_zmiennych($A11,S$5)</f>
        <v>8.4209321768477521E-2</v>
      </c>
      <c r="T11" cm="1">
        <f t="array" ref="T11">funkcja_dwoch_zmiennych($A11,T$5)</f>
        <v>-9.6528839785945048E-4</v>
      </c>
      <c r="U11" cm="1">
        <f t="array" ref="U11">funkcja_dwoch_zmiennych($A11,U$5)</f>
        <v>-7.3576893125370316E-2</v>
      </c>
    </row>
    <row r="12" spans="1:21" x14ac:dyDescent="0.2">
      <c r="A12">
        <f t="shared" si="1"/>
        <v>-4</v>
      </c>
      <c r="B12" cm="1">
        <f t="array" ref="B12">funkcja_dwoch_zmiennych($A12,B$5)</f>
        <v>-8.9669727074617581E-2</v>
      </c>
      <c r="C12" cm="1">
        <f t="array" ref="C12">funkcja_dwoch_zmiennych($A12,C$5)</f>
        <v>-4.1359753555614609E-2</v>
      </c>
      <c r="D12" cm="1">
        <f t="array" ref="D12">funkcja_dwoch_zmiennych($A12,D$5)</f>
        <v>5.1107262746848695E-2</v>
      </c>
      <c r="E12" cm="1">
        <f t="array" ref="E12">funkcja_dwoch_zmiennych($A12,E$5)</f>
        <v>0.11986742547288094</v>
      </c>
      <c r="F12" cm="1">
        <f t="array" ref="F12">funkcja_dwoch_zmiennych($A12,F$5)</f>
        <v>0.1094736471116801</v>
      </c>
      <c r="G12" cm="1">
        <f t="array" ref="G12">funkcja_dwoch_zmiennych($A12,G$5)</f>
        <v>1.8399091286775922E-2</v>
      </c>
      <c r="H12" cm="1">
        <f t="array" ref="H12">funkcja_dwoch_zmiennych($A12,H$5)</f>
        <v>-0.10182230912916722</v>
      </c>
      <c r="I12" cm="1">
        <f t="array" ref="I12">funkcja_dwoch_zmiennych($A12,I$5)</f>
        <v>-0.18802436758100755</v>
      </c>
      <c r="J12" cm="1">
        <f t="array" ref="J12">funkcja_dwoch_zmiennych($A12,J$5)</f>
        <v>-0.21243414642965108</v>
      </c>
      <c r="K12" cm="1">
        <f t="array" ref="K12">funkcja_dwoch_zmiennych($A12,K$5)</f>
        <v>-0.19685493398993939</v>
      </c>
      <c r="L12" cm="1">
        <f t="array" ref="L12">funkcja_dwoch_zmiennych($A12,L$5)</f>
        <v>-0.18458597446534838</v>
      </c>
      <c r="M12" cm="1">
        <f t="array" ref="M12">funkcja_dwoch_zmiennych($A12,M$5)</f>
        <v>-0.19685493398993939</v>
      </c>
      <c r="N12" cm="1">
        <f t="array" ref="N12">funkcja_dwoch_zmiennych($A12,N$5)</f>
        <v>-0.21243414642965108</v>
      </c>
      <c r="O12" cm="1">
        <f t="array" ref="O12">funkcja_dwoch_zmiennych($A12,O$5)</f>
        <v>-0.18802436758100755</v>
      </c>
      <c r="P12" cm="1">
        <f t="array" ref="P12">funkcja_dwoch_zmiennych($A12,P$5)</f>
        <v>-0.10182230912916722</v>
      </c>
      <c r="Q12" cm="1">
        <f t="array" ref="Q12">funkcja_dwoch_zmiennych($A12,Q$5)</f>
        <v>1.8399091286775922E-2</v>
      </c>
      <c r="R12" cm="1">
        <f t="array" ref="R12">funkcja_dwoch_zmiennych($A12,R$5)</f>
        <v>0.1094736471116801</v>
      </c>
      <c r="S12" cm="1">
        <f t="array" ref="S12">funkcja_dwoch_zmiennych($A12,S$5)</f>
        <v>0.11986742547288094</v>
      </c>
      <c r="T12" cm="1">
        <f t="array" ref="T12">funkcja_dwoch_zmiennych($A12,T$5)</f>
        <v>5.1107262746848695E-2</v>
      </c>
      <c r="U12" cm="1">
        <f t="array" ref="U12">funkcja_dwoch_zmiennych($A12,U$5)</f>
        <v>-4.1359753555614609E-2</v>
      </c>
    </row>
    <row r="13" spans="1:21" x14ac:dyDescent="0.2">
      <c r="A13">
        <f t="shared" si="1"/>
        <v>-3</v>
      </c>
      <c r="B13" cm="1">
        <f t="array" ref="B13">funkcja_dwoch_zmiennych($A13,B$5)</f>
        <v>-8.0619980539883049E-2</v>
      </c>
      <c r="C13" cm="1">
        <f t="array" ref="C13">funkcja_dwoch_zmiennych($A13,C$5)</f>
        <v>-6.4687890520678743E-3</v>
      </c>
      <c r="D13" cm="1">
        <f t="array" ref="D13">funkcja_dwoch_zmiennych($A13,D$5)</f>
        <v>8.9221611054293132E-2</v>
      </c>
      <c r="E13" cm="1">
        <f t="array" ref="E13">funkcja_dwoch_zmiennych($A13,E$5)</f>
        <v>0.12594489757185887</v>
      </c>
      <c r="F13" cm="1">
        <f t="array" ref="F13">funkcja_dwoch_zmiennych($A13,F$5)</f>
        <v>6.0564835329230252E-2</v>
      </c>
      <c r="G13" cm="1">
        <f t="array" ref="G13">funkcja_dwoch_zmiennych($A13,G$5)</f>
        <v>-7.3677130588744283E-2</v>
      </c>
      <c r="H13" cm="1">
        <f t="array" ref="H13">funkcja_dwoch_zmiennych($A13,H$5)</f>
        <v>-0.18802436758100755</v>
      </c>
      <c r="I13" cm="1">
        <f t="array" ref="I13">funkcja_dwoch_zmiennych($A13,I$5)</f>
        <v>-0.20533180585807073</v>
      </c>
      <c r="J13" cm="1">
        <f t="array" ref="J13">funkcja_dwoch_zmiennych($A13,J$5)</f>
        <v>-0.12076253139443824</v>
      </c>
      <c r="K13" cm="1">
        <f t="array" ref="K13">funkcja_dwoch_zmiennych($A13,K$5)</f>
        <v>-6.3402118655083838E-3</v>
      </c>
      <c r="L13" cm="1">
        <f t="array" ref="L13">funkcja_dwoch_zmiennych($A13,L$5)</f>
        <v>4.5522583245118452E-2</v>
      </c>
      <c r="M13" cm="1">
        <f t="array" ref="M13">funkcja_dwoch_zmiennych($A13,M$5)</f>
        <v>-6.3402118655083838E-3</v>
      </c>
      <c r="N13" cm="1">
        <f t="array" ref="N13">funkcja_dwoch_zmiennych($A13,N$5)</f>
        <v>-0.12076253139443824</v>
      </c>
      <c r="O13" cm="1">
        <f t="array" ref="O13">funkcja_dwoch_zmiennych($A13,O$5)</f>
        <v>-0.20533180585807073</v>
      </c>
      <c r="P13" cm="1">
        <f t="array" ref="P13">funkcja_dwoch_zmiennych($A13,P$5)</f>
        <v>-0.18802436758100755</v>
      </c>
      <c r="Q13" cm="1">
        <f t="array" ref="Q13">funkcja_dwoch_zmiennych($A13,Q$5)</f>
        <v>-7.3677130588744283E-2</v>
      </c>
      <c r="R13" cm="1">
        <f t="array" ref="R13">funkcja_dwoch_zmiennych($A13,R$5)</f>
        <v>6.0564835329230252E-2</v>
      </c>
      <c r="S13" cm="1">
        <f t="array" ref="S13">funkcja_dwoch_zmiennych($A13,S$5)</f>
        <v>0.12594489757185887</v>
      </c>
      <c r="T13" cm="1">
        <f t="array" ref="T13">funkcja_dwoch_zmiennych($A13,T$5)</f>
        <v>8.9221611054293132E-2</v>
      </c>
      <c r="U13" cm="1">
        <f t="array" ref="U13">funkcja_dwoch_zmiennych($A13,U$5)</f>
        <v>-6.4687890520678743E-3</v>
      </c>
    </row>
    <row r="14" spans="1:21" x14ac:dyDescent="0.2">
      <c r="A14">
        <f t="shared" si="1"/>
        <v>-2</v>
      </c>
      <c r="B14" cm="1">
        <f t="array" ref="B14">funkcja_dwoch_zmiennych($A14,B$5)</f>
        <v>-6.7825795325476418E-2</v>
      </c>
      <c r="C14" cm="1">
        <f t="array" ref="C14">funkcja_dwoch_zmiennych($A14,C$5)</f>
        <v>2.1867567608111083E-2</v>
      </c>
      <c r="D14" cm="1">
        <f t="array" ref="D14">funkcja_dwoch_zmiennych($A14,D$5)</f>
        <v>0.11071599545486101</v>
      </c>
      <c r="E14" cm="1">
        <f t="array" ref="E14">funkcja_dwoch_zmiennych($A14,E$5)</f>
        <v>0.11379306883619703</v>
      </c>
      <c r="F14" cm="1">
        <f t="array" ref="F14">funkcja_dwoch_zmiennych($A14,F$5)</f>
        <v>6.4375215809187062E-3</v>
      </c>
      <c r="G14" cm="1">
        <f t="array" ref="G14">funkcja_dwoch_zmiennych($A14,G$5)</f>
        <v>-0.14258366454335114</v>
      </c>
      <c r="H14" cm="1">
        <f t="array" ref="H14">funkcja_dwoch_zmiennych($A14,H$5)</f>
        <v>-0.21243414642965108</v>
      </c>
      <c r="I14" cm="1">
        <f t="array" ref="I14">funkcja_dwoch_zmiennych($A14,I$5)</f>
        <v>-0.12076253139443824</v>
      </c>
      <c r="J14" cm="1">
        <f t="array" ref="J14">funkcja_dwoch_zmiennych($A14,J$5)</f>
        <v>0.10520041279488754</v>
      </c>
      <c r="K14" cm="1">
        <f t="array" ref="K14">funkcja_dwoch_zmiennych($A14,K$5)</f>
        <v>0.33678349222921306</v>
      </c>
      <c r="L14" cm="1">
        <f t="array" ref="L14">funkcja_dwoch_zmiennych($A14,L$5)</f>
        <v>0.43299877467889603</v>
      </c>
      <c r="M14" cm="1">
        <f t="array" ref="M14">funkcja_dwoch_zmiennych($A14,M$5)</f>
        <v>0.33678349222921306</v>
      </c>
      <c r="N14" cm="1">
        <f t="array" ref="N14">funkcja_dwoch_zmiennych($A14,N$5)</f>
        <v>0.10520041279488754</v>
      </c>
      <c r="O14" cm="1">
        <f t="array" ref="O14">funkcja_dwoch_zmiennych($A14,O$5)</f>
        <v>-0.12076253139443824</v>
      </c>
      <c r="P14" cm="1">
        <f t="array" ref="P14">funkcja_dwoch_zmiennych($A14,P$5)</f>
        <v>-0.21243414642965108</v>
      </c>
      <c r="Q14" cm="1">
        <f t="array" ref="Q14">funkcja_dwoch_zmiennych($A14,Q$5)</f>
        <v>-0.14258366454335114</v>
      </c>
      <c r="R14" cm="1">
        <f t="array" ref="R14">funkcja_dwoch_zmiennych($A14,R$5)</f>
        <v>6.4375215809187062E-3</v>
      </c>
      <c r="S14" cm="1">
        <f t="array" ref="S14">funkcja_dwoch_zmiennych($A14,S$5)</f>
        <v>0.11379306883619703</v>
      </c>
      <c r="T14" cm="1">
        <f t="array" ref="T14">funkcja_dwoch_zmiennych($A14,T$5)</f>
        <v>0.11071599545486101</v>
      </c>
      <c r="U14" cm="1">
        <f t="array" ref="U14">funkcja_dwoch_zmiennych($A14,U$5)</f>
        <v>2.1867567608111083E-2</v>
      </c>
    </row>
    <row r="15" spans="1:21" x14ac:dyDescent="0.2">
      <c r="A15">
        <f t="shared" si="1"/>
        <v>-1</v>
      </c>
      <c r="B15" cm="1">
        <f t="array" ref="B15">funkcja_dwoch_zmiennych($A15,B$5)</f>
        <v>-5.7653560589034113E-2</v>
      </c>
      <c r="C15" cm="1">
        <f t="array" ref="C15">funkcja_dwoch_zmiennych($A15,C$5)</f>
        <v>3.9435727916519343E-2</v>
      </c>
      <c r="D15" cm="1">
        <f t="array" ref="D15">funkcja_dwoch_zmiennych($A15,D$5)</f>
        <v>0.11986742547288094</v>
      </c>
      <c r="E15" cm="1">
        <f t="array" ref="E15">funkcja_dwoch_zmiennych($A15,E$5)</f>
        <v>9.8850172726736366E-2</v>
      </c>
      <c r="F15" cm="1">
        <f t="array" ref="F15">funkcja_dwoch_zmiennych($A15,F$5)</f>
        <v>-3.2199791200669042E-2</v>
      </c>
      <c r="G15" cm="1">
        <f t="array" ref="G15">funkcja_dwoch_zmiennych($A15,G$5)</f>
        <v>-0.17814605943836345</v>
      </c>
      <c r="H15" cm="1">
        <f t="array" ref="H15">funkcja_dwoch_zmiennych($A15,H$5)</f>
        <v>-0.19685493398993939</v>
      </c>
      <c r="I15" cm="1">
        <f t="array" ref="I15">funkcja_dwoch_zmiennych($A15,I$5)</f>
        <v>-6.3402118655083838E-3</v>
      </c>
      <c r="J15" cm="1">
        <f t="array" ref="J15">funkcja_dwoch_zmiennych($A15,J$5)</f>
        <v>0.33678349222921306</v>
      </c>
      <c r="K15" cm="1">
        <f t="array" ref="K15">funkcja_dwoch_zmiennych($A15,K$5)</f>
        <v>0.65232934807735832</v>
      </c>
      <c r="L15" cm="1">
        <f t="array" ref="L15">funkcja_dwoch_zmiennych($A15,L$5)</f>
        <v>0.76497362255263313</v>
      </c>
      <c r="M15" cm="1">
        <f t="array" ref="M15">funkcja_dwoch_zmiennych($A15,M$5)</f>
        <v>0.65232934807735832</v>
      </c>
      <c r="N15" cm="1">
        <f t="array" ref="N15">funkcja_dwoch_zmiennych($A15,N$5)</f>
        <v>0.33678349222921306</v>
      </c>
      <c r="O15" cm="1">
        <f t="array" ref="O15">funkcja_dwoch_zmiennych($A15,O$5)</f>
        <v>-6.3402118655083838E-3</v>
      </c>
      <c r="P15" cm="1">
        <f t="array" ref="P15">funkcja_dwoch_zmiennych($A15,P$5)</f>
        <v>-0.19685493398993939</v>
      </c>
      <c r="Q15" cm="1">
        <f t="array" ref="Q15">funkcja_dwoch_zmiennych($A15,Q$5)</f>
        <v>-0.17814605943836345</v>
      </c>
      <c r="R15" cm="1">
        <f t="array" ref="R15">funkcja_dwoch_zmiennych($A15,R$5)</f>
        <v>-3.2199791200669042E-2</v>
      </c>
      <c r="S15" cm="1">
        <f t="array" ref="S15">funkcja_dwoch_zmiennych($A15,S$5)</f>
        <v>9.8850172726736366E-2</v>
      </c>
      <c r="T15" cm="1">
        <f t="array" ref="T15">funkcja_dwoch_zmiennych($A15,T$5)</f>
        <v>0.11986742547288094</v>
      </c>
      <c r="U15" cm="1">
        <f t="array" ref="U15">funkcja_dwoch_zmiennych($A15,U$5)</f>
        <v>3.9435727916519343E-2</v>
      </c>
    </row>
    <row r="16" spans="1:21" x14ac:dyDescent="0.2">
      <c r="A16">
        <f t="shared" si="1"/>
        <v>0</v>
      </c>
      <c r="B16" cm="1">
        <f t="array" ref="B16">funkcja_dwoch_zmiennych($A16,B$5)</f>
        <v>-5.3863476325680178E-2</v>
      </c>
      <c r="C16" cm="1">
        <f t="array" ref="C16">funkcja_dwoch_zmiennych($A16,C$5)</f>
        <v>4.5287745630962266E-2</v>
      </c>
      <c r="D16" cm="1">
        <f t="array" ref="D16">funkcja_dwoch_zmiennych($A16,D$5)</f>
        <v>0.12214299341029405</v>
      </c>
      <c r="E16" cm="1">
        <f t="array" ref="E16">funkcja_dwoch_zmiennych($A16,E$5)</f>
        <v>9.2533323763209732E-2</v>
      </c>
      <c r="F16" cm="1">
        <f t="array" ref="F16">funkcja_dwoch_zmiennych($A16,F$5)</f>
        <v>-4.5805819376873093E-2</v>
      </c>
      <c r="G16" cm="1">
        <f t="array" ref="G16">funkcja_dwoch_zmiennych($A16,G$5)</f>
        <v>-0.18802436758100755</v>
      </c>
      <c r="H16" cm="1">
        <f t="array" ref="H16">funkcja_dwoch_zmiennych($A16,H$5)</f>
        <v>-0.18458597446534838</v>
      </c>
      <c r="I16" cm="1">
        <f t="array" ref="I16">funkcja_dwoch_zmiennych($A16,I$5)</f>
        <v>4.5522583245118452E-2</v>
      </c>
      <c r="J16" cm="1">
        <f t="array" ref="J16">funkcja_dwoch_zmiennych($A16,J$5)</f>
        <v>0.43299877467889603</v>
      </c>
      <c r="K16" cm="1">
        <f t="array" ref="K16">funkcja_dwoch_zmiennych($A16,K$5)</f>
        <v>0.76497362255263313</v>
      </c>
      <c r="L16" cm="1">
        <f t="array" ref="L16">funkcja_dwoch_zmiennych($A16,L$5)</f>
        <v>0</v>
      </c>
      <c r="M16" cm="1">
        <f t="array" ref="M16">funkcja_dwoch_zmiennych($A16,M$5)</f>
        <v>0.76497362255263313</v>
      </c>
      <c r="N16" cm="1">
        <f t="array" ref="N16">funkcja_dwoch_zmiennych($A16,N$5)</f>
        <v>0.43299877467889603</v>
      </c>
      <c r="O16" cm="1">
        <f t="array" ref="O16">funkcja_dwoch_zmiennych($A16,O$5)</f>
        <v>4.5522583245118452E-2</v>
      </c>
      <c r="P16" cm="1">
        <f t="array" ref="P16">funkcja_dwoch_zmiennych($A16,P$5)</f>
        <v>-0.18458597446534838</v>
      </c>
      <c r="Q16" cm="1">
        <f t="array" ref="Q16">funkcja_dwoch_zmiennych($A16,Q$5)</f>
        <v>-0.18802436758100755</v>
      </c>
      <c r="R16" cm="1">
        <f t="array" ref="R16">funkcja_dwoch_zmiennych($A16,R$5)</f>
        <v>-4.5805819376873093E-2</v>
      </c>
      <c r="S16" cm="1">
        <f t="array" ref="S16">funkcja_dwoch_zmiennych($A16,S$5)</f>
        <v>9.2533323763209732E-2</v>
      </c>
      <c r="T16" cm="1">
        <f t="array" ref="T16">funkcja_dwoch_zmiennych($A16,T$5)</f>
        <v>0.12214299341029405</v>
      </c>
      <c r="U16" cm="1">
        <f t="array" ref="U16">funkcja_dwoch_zmiennych($A16,U$5)</f>
        <v>4.5287745630962266E-2</v>
      </c>
    </row>
    <row r="17" spans="1:21" x14ac:dyDescent="0.2">
      <c r="A17">
        <f t="shared" si="1"/>
        <v>1</v>
      </c>
      <c r="B17" cm="1">
        <f t="array" ref="B17">funkcja_dwoch_zmiennych($A17,B$5)</f>
        <v>-5.7653560589034113E-2</v>
      </c>
      <c r="C17" cm="1">
        <f t="array" ref="C17">funkcja_dwoch_zmiennych($A17,C$5)</f>
        <v>3.9435727916519343E-2</v>
      </c>
      <c r="D17" cm="1">
        <f t="array" ref="D17">funkcja_dwoch_zmiennych($A17,D$5)</f>
        <v>0.11986742547288094</v>
      </c>
      <c r="E17" cm="1">
        <f t="array" ref="E17">funkcja_dwoch_zmiennych($A17,E$5)</f>
        <v>9.8850172726736366E-2</v>
      </c>
      <c r="F17" cm="1">
        <f t="array" ref="F17">funkcja_dwoch_zmiennych($A17,F$5)</f>
        <v>-3.2199791200669042E-2</v>
      </c>
      <c r="G17" cm="1">
        <f t="array" ref="G17">funkcja_dwoch_zmiennych($A17,G$5)</f>
        <v>-0.17814605943836345</v>
      </c>
      <c r="H17" cm="1">
        <f t="array" ref="H17">funkcja_dwoch_zmiennych($A17,H$5)</f>
        <v>-0.19685493398993939</v>
      </c>
      <c r="I17" cm="1">
        <f t="array" ref="I17">funkcja_dwoch_zmiennych($A17,I$5)</f>
        <v>-6.3402118655083838E-3</v>
      </c>
      <c r="J17" cm="1">
        <f t="array" ref="J17">funkcja_dwoch_zmiennych($A17,J$5)</f>
        <v>0.33678349222921306</v>
      </c>
      <c r="K17" cm="1">
        <f t="array" ref="K17">funkcja_dwoch_zmiennych($A17,K$5)</f>
        <v>0.65232934807735832</v>
      </c>
      <c r="L17" cm="1">
        <f t="array" ref="L17">funkcja_dwoch_zmiennych($A17,L$5)</f>
        <v>0.76497362255263313</v>
      </c>
      <c r="M17" cm="1">
        <f t="array" ref="M17">funkcja_dwoch_zmiennych($A17,M$5)</f>
        <v>0.65232934807735832</v>
      </c>
      <c r="N17" cm="1">
        <f t="array" ref="N17">funkcja_dwoch_zmiennych($A17,N$5)</f>
        <v>0.33678349222921306</v>
      </c>
      <c r="O17" cm="1">
        <f t="array" ref="O17">funkcja_dwoch_zmiennych($A17,O$5)</f>
        <v>-6.3402118655083838E-3</v>
      </c>
      <c r="P17" cm="1">
        <f t="array" ref="P17">funkcja_dwoch_zmiennych($A17,P$5)</f>
        <v>-0.19685493398993939</v>
      </c>
      <c r="Q17" cm="1">
        <f t="array" ref="Q17">funkcja_dwoch_zmiennych($A17,Q$5)</f>
        <v>-0.17814605943836345</v>
      </c>
      <c r="R17" cm="1">
        <f t="array" ref="R17">funkcja_dwoch_zmiennych($A17,R$5)</f>
        <v>-3.2199791200669042E-2</v>
      </c>
      <c r="S17" cm="1">
        <f t="array" ref="S17">funkcja_dwoch_zmiennych($A17,S$5)</f>
        <v>9.8850172726736366E-2</v>
      </c>
      <c r="T17" cm="1">
        <f t="array" ref="T17">funkcja_dwoch_zmiennych($A17,T$5)</f>
        <v>0.11986742547288094</v>
      </c>
      <c r="U17" cm="1">
        <f t="array" ref="U17">funkcja_dwoch_zmiennych($A17,U$5)</f>
        <v>3.9435727916519343E-2</v>
      </c>
    </row>
    <row r="18" spans="1:21" x14ac:dyDescent="0.2">
      <c r="A18">
        <f t="shared" si="1"/>
        <v>2</v>
      </c>
      <c r="B18" cm="1">
        <f t="array" ref="B18">funkcja_dwoch_zmiennych($A18,B$5)</f>
        <v>-6.7825795325476418E-2</v>
      </c>
      <c r="C18" cm="1">
        <f t="array" ref="C18">funkcja_dwoch_zmiennych($A18,C$5)</f>
        <v>2.1867567608111083E-2</v>
      </c>
      <c r="D18" cm="1">
        <f t="array" ref="D18">funkcja_dwoch_zmiennych($A18,D$5)</f>
        <v>0.11071599545486101</v>
      </c>
      <c r="E18" cm="1">
        <f t="array" ref="E18">funkcja_dwoch_zmiennych($A18,E$5)</f>
        <v>0.11379306883619703</v>
      </c>
      <c r="F18" cm="1">
        <f t="array" ref="F18">funkcja_dwoch_zmiennych($A18,F$5)</f>
        <v>6.4375215809187062E-3</v>
      </c>
      <c r="G18" cm="1">
        <f t="array" ref="G18">funkcja_dwoch_zmiennych($A18,G$5)</f>
        <v>-0.14258366454335114</v>
      </c>
      <c r="H18" cm="1">
        <f t="array" ref="H18">funkcja_dwoch_zmiennych($A18,H$5)</f>
        <v>-0.21243414642965108</v>
      </c>
      <c r="I18" cm="1">
        <f t="array" ref="I18">funkcja_dwoch_zmiennych($A18,I$5)</f>
        <v>-0.12076253139443824</v>
      </c>
      <c r="J18" cm="1">
        <f t="array" ref="J18">funkcja_dwoch_zmiennych($A18,J$5)</f>
        <v>0.10520041279488754</v>
      </c>
      <c r="K18" cm="1">
        <f t="array" ref="K18">funkcja_dwoch_zmiennych($A18,K$5)</f>
        <v>0.33678349222921306</v>
      </c>
      <c r="L18" cm="1">
        <f t="array" ref="L18">funkcja_dwoch_zmiennych($A18,L$5)</f>
        <v>0.43299877467889603</v>
      </c>
      <c r="M18" cm="1">
        <f t="array" ref="M18">funkcja_dwoch_zmiennych($A18,M$5)</f>
        <v>0.33678349222921306</v>
      </c>
      <c r="N18" cm="1">
        <f t="array" ref="N18">funkcja_dwoch_zmiennych($A18,N$5)</f>
        <v>0.10520041279488754</v>
      </c>
      <c r="O18" cm="1">
        <f t="array" ref="O18">funkcja_dwoch_zmiennych($A18,O$5)</f>
        <v>-0.12076253139443824</v>
      </c>
      <c r="P18" cm="1">
        <f t="array" ref="P18">funkcja_dwoch_zmiennych($A18,P$5)</f>
        <v>-0.21243414642965108</v>
      </c>
      <c r="Q18" cm="1">
        <f t="array" ref="Q18">funkcja_dwoch_zmiennych($A18,Q$5)</f>
        <v>-0.14258366454335114</v>
      </c>
      <c r="R18" cm="1">
        <f t="array" ref="R18">funkcja_dwoch_zmiennych($A18,R$5)</f>
        <v>6.4375215809187062E-3</v>
      </c>
      <c r="S18" cm="1">
        <f t="array" ref="S18">funkcja_dwoch_zmiennych($A18,S$5)</f>
        <v>0.11379306883619703</v>
      </c>
      <c r="T18" cm="1">
        <f t="array" ref="T18">funkcja_dwoch_zmiennych($A18,T$5)</f>
        <v>0.11071599545486101</v>
      </c>
      <c r="U18" cm="1">
        <f t="array" ref="U18">funkcja_dwoch_zmiennych($A18,U$5)</f>
        <v>2.1867567608111083E-2</v>
      </c>
    </row>
    <row r="19" spans="1:21" x14ac:dyDescent="0.2">
      <c r="A19">
        <f t="shared" si="1"/>
        <v>3</v>
      </c>
      <c r="B19" cm="1">
        <f t="array" ref="B19">funkcja_dwoch_zmiennych($A19,B$5)</f>
        <v>-8.0619980539883049E-2</v>
      </c>
      <c r="C19" cm="1">
        <f t="array" ref="C19">funkcja_dwoch_zmiennych($A19,C$5)</f>
        <v>-6.4687890520678743E-3</v>
      </c>
      <c r="D19" cm="1">
        <f t="array" ref="D19">funkcja_dwoch_zmiennych($A19,D$5)</f>
        <v>8.9221611054293132E-2</v>
      </c>
      <c r="E19" cm="1">
        <f t="array" ref="E19">funkcja_dwoch_zmiennych($A19,E$5)</f>
        <v>0.12594489757185887</v>
      </c>
      <c r="F19" cm="1">
        <f t="array" ref="F19">funkcja_dwoch_zmiennych($A19,F$5)</f>
        <v>6.0564835329230252E-2</v>
      </c>
      <c r="G19" cm="1">
        <f t="array" ref="G19">funkcja_dwoch_zmiennych($A19,G$5)</f>
        <v>-7.3677130588744283E-2</v>
      </c>
      <c r="H19" cm="1">
        <f t="array" ref="H19">funkcja_dwoch_zmiennych($A19,H$5)</f>
        <v>-0.18802436758100755</v>
      </c>
      <c r="I19" cm="1">
        <f t="array" ref="I19">funkcja_dwoch_zmiennych($A19,I$5)</f>
        <v>-0.20533180585807073</v>
      </c>
      <c r="J19" cm="1">
        <f t="array" ref="J19">funkcja_dwoch_zmiennych($A19,J$5)</f>
        <v>-0.12076253139443824</v>
      </c>
      <c r="K19" cm="1">
        <f t="array" ref="K19">funkcja_dwoch_zmiennych($A19,K$5)</f>
        <v>-6.3402118655083838E-3</v>
      </c>
      <c r="L19" cm="1">
        <f t="array" ref="L19">funkcja_dwoch_zmiennych($A19,L$5)</f>
        <v>4.5522583245118452E-2</v>
      </c>
      <c r="M19" cm="1">
        <f t="array" ref="M19">funkcja_dwoch_zmiennych($A19,M$5)</f>
        <v>-6.3402118655083838E-3</v>
      </c>
      <c r="N19" cm="1">
        <f t="array" ref="N19">funkcja_dwoch_zmiennych($A19,N$5)</f>
        <v>-0.12076253139443824</v>
      </c>
      <c r="O19" cm="1">
        <f t="array" ref="O19">funkcja_dwoch_zmiennych($A19,O$5)</f>
        <v>-0.20533180585807073</v>
      </c>
      <c r="P19" cm="1">
        <f t="array" ref="P19">funkcja_dwoch_zmiennych($A19,P$5)</f>
        <v>-0.18802436758100755</v>
      </c>
      <c r="Q19" cm="1">
        <f t="array" ref="Q19">funkcja_dwoch_zmiennych($A19,Q$5)</f>
        <v>-7.3677130588744283E-2</v>
      </c>
      <c r="R19" cm="1">
        <f t="array" ref="R19">funkcja_dwoch_zmiennych($A19,R$5)</f>
        <v>6.0564835329230252E-2</v>
      </c>
      <c r="S19" cm="1">
        <f t="array" ref="S19">funkcja_dwoch_zmiennych($A19,S$5)</f>
        <v>0.12594489757185887</v>
      </c>
      <c r="T19" cm="1">
        <f t="array" ref="T19">funkcja_dwoch_zmiennych($A19,T$5)</f>
        <v>8.9221611054293132E-2</v>
      </c>
      <c r="U19" cm="1">
        <f t="array" ref="U19">funkcja_dwoch_zmiennych($A19,U$5)</f>
        <v>-6.4687890520678743E-3</v>
      </c>
    </row>
    <row r="20" spans="1:21" x14ac:dyDescent="0.2">
      <c r="A20">
        <f t="shared" si="1"/>
        <v>4</v>
      </c>
      <c r="B20" cm="1">
        <f t="array" ref="B20">funkcja_dwoch_zmiennych($A20,B$5)</f>
        <v>-8.9669727074617581E-2</v>
      </c>
      <c r="C20" cm="1">
        <f t="array" ref="C20">funkcja_dwoch_zmiennych($A20,C$5)</f>
        <v>-4.1359753555614609E-2</v>
      </c>
      <c r="D20" cm="1">
        <f t="array" ref="D20">funkcja_dwoch_zmiennych($A20,D$5)</f>
        <v>5.1107262746848695E-2</v>
      </c>
      <c r="E20" cm="1">
        <f t="array" ref="E20">funkcja_dwoch_zmiennych($A20,E$5)</f>
        <v>0.11986742547288094</v>
      </c>
      <c r="F20" cm="1">
        <f t="array" ref="F20">funkcja_dwoch_zmiennych($A20,F$5)</f>
        <v>0.1094736471116801</v>
      </c>
      <c r="G20" cm="1">
        <f t="array" ref="G20">funkcja_dwoch_zmiennych($A20,G$5)</f>
        <v>1.8399091286775922E-2</v>
      </c>
      <c r="H20" cm="1">
        <f t="array" ref="H20">funkcja_dwoch_zmiennych($A20,H$5)</f>
        <v>-0.10182230912916722</v>
      </c>
      <c r="I20" cm="1">
        <f t="array" ref="I20">funkcja_dwoch_zmiennych($A20,I$5)</f>
        <v>-0.18802436758100755</v>
      </c>
      <c r="J20" cm="1">
        <f t="array" ref="J20">funkcja_dwoch_zmiennych($A20,J$5)</f>
        <v>-0.21243414642965108</v>
      </c>
      <c r="K20" cm="1">
        <f t="array" ref="K20">funkcja_dwoch_zmiennych($A20,K$5)</f>
        <v>-0.19685493398993939</v>
      </c>
      <c r="L20" cm="1">
        <f t="array" ref="L20">funkcja_dwoch_zmiennych($A20,L$5)</f>
        <v>-0.18458597446534838</v>
      </c>
      <c r="M20" cm="1">
        <f t="array" ref="M20">funkcja_dwoch_zmiennych($A20,M$5)</f>
        <v>-0.19685493398993939</v>
      </c>
      <c r="N20" cm="1">
        <f t="array" ref="N20">funkcja_dwoch_zmiennych($A20,N$5)</f>
        <v>-0.21243414642965108</v>
      </c>
      <c r="O20" cm="1">
        <f t="array" ref="O20">funkcja_dwoch_zmiennych($A20,O$5)</f>
        <v>-0.18802436758100755</v>
      </c>
      <c r="P20" cm="1">
        <f t="array" ref="P20">funkcja_dwoch_zmiennych($A20,P$5)</f>
        <v>-0.10182230912916722</v>
      </c>
      <c r="Q20" cm="1">
        <f t="array" ref="Q20">funkcja_dwoch_zmiennych($A20,Q$5)</f>
        <v>1.8399091286775922E-2</v>
      </c>
      <c r="R20" cm="1">
        <f t="array" ref="R20">funkcja_dwoch_zmiennych($A20,R$5)</f>
        <v>0.1094736471116801</v>
      </c>
      <c r="S20" cm="1">
        <f t="array" ref="S20">funkcja_dwoch_zmiennych($A20,S$5)</f>
        <v>0.11986742547288094</v>
      </c>
      <c r="T20" cm="1">
        <f t="array" ref="T20">funkcja_dwoch_zmiennych($A20,T$5)</f>
        <v>5.1107262746848695E-2</v>
      </c>
      <c r="U20" cm="1">
        <f t="array" ref="U20">funkcja_dwoch_zmiennych($A20,U$5)</f>
        <v>-4.1359753555614609E-2</v>
      </c>
    </row>
    <row r="21" spans="1:21" x14ac:dyDescent="0.2">
      <c r="A21">
        <f t="shared" si="1"/>
        <v>5</v>
      </c>
      <c r="B21" cm="1">
        <f t="array" ref="B21">funkcja_dwoch_zmiennych($A21,B$5)</f>
        <v>-8.7140932853959532E-2</v>
      </c>
      <c r="C21" cm="1">
        <f t="array" ref="C21">funkcja_dwoch_zmiennych($A21,C$5)</f>
        <v>-7.3576893125370316E-2</v>
      </c>
      <c r="D21" cm="1">
        <f t="array" ref="D21">funkcja_dwoch_zmiennych($A21,D$5)</f>
        <v>-9.6528839785945048E-4</v>
      </c>
      <c r="E21" cm="1">
        <f t="array" ref="E21">funkcja_dwoch_zmiennych($A21,E$5)</f>
        <v>8.4209321768477521E-2</v>
      </c>
      <c r="F21" cm="1">
        <f t="array" ref="F21">funkcja_dwoch_zmiennych($A21,F$5)</f>
        <v>0.12629739278076232</v>
      </c>
      <c r="G21" cm="1">
        <f t="array" ref="G21">funkcja_dwoch_zmiennych($A21,G$5)</f>
        <v>9.8850172726736366E-2</v>
      </c>
      <c r="H21" cm="1">
        <f t="array" ref="H21">funkcja_dwoch_zmiennych($A21,H$5)</f>
        <v>1.8399091286775922E-2</v>
      </c>
      <c r="I21" cm="1">
        <f t="array" ref="I21">funkcja_dwoch_zmiennych($A21,I$5)</f>
        <v>-7.3677130588744283E-2</v>
      </c>
      <c r="J21" cm="1">
        <f t="array" ref="J21">funkcja_dwoch_zmiennych($A21,J$5)</f>
        <v>-0.14258366454335114</v>
      </c>
      <c r="K21" cm="1">
        <f t="array" ref="K21">funkcja_dwoch_zmiennych($A21,K$5)</f>
        <v>-0.17814605943836345</v>
      </c>
      <c r="L21" cm="1">
        <f t="array" ref="L21">funkcja_dwoch_zmiennych($A21,L$5)</f>
        <v>-0.18802436758100755</v>
      </c>
      <c r="M21" cm="1">
        <f t="array" ref="M21">funkcja_dwoch_zmiennych($A21,M$5)</f>
        <v>-0.17814605943836345</v>
      </c>
      <c r="N21" cm="1">
        <f t="array" ref="N21">funkcja_dwoch_zmiennych($A21,N$5)</f>
        <v>-0.14258366454335114</v>
      </c>
      <c r="O21" cm="1">
        <f t="array" ref="O21">funkcja_dwoch_zmiennych($A21,O$5)</f>
        <v>-7.3677130588744283E-2</v>
      </c>
      <c r="P21" cm="1">
        <f t="array" ref="P21">funkcja_dwoch_zmiennych($A21,P$5)</f>
        <v>1.8399091286775922E-2</v>
      </c>
      <c r="Q21" cm="1">
        <f t="array" ref="Q21">funkcja_dwoch_zmiennych($A21,Q$5)</f>
        <v>9.8850172726736366E-2</v>
      </c>
      <c r="R21" cm="1">
        <f t="array" ref="R21">funkcja_dwoch_zmiennych($A21,R$5)</f>
        <v>0.12629739278076232</v>
      </c>
      <c r="S21" cm="1">
        <f t="array" ref="S21">funkcja_dwoch_zmiennych($A21,S$5)</f>
        <v>8.4209321768477521E-2</v>
      </c>
      <c r="T21" cm="1">
        <f t="array" ref="T21">funkcja_dwoch_zmiennych($A21,T$5)</f>
        <v>-9.6528839785945048E-4</v>
      </c>
      <c r="U21" cm="1">
        <f t="array" ref="U21">funkcja_dwoch_zmiennych($A21,U$5)</f>
        <v>-7.3576893125370316E-2</v>
      </c>
    </row>
    <row r="22" spans="1:21" x14ac:dyDescent="0.2">
      <c r="A22">
        <f t="shared" si="1"/>
        <v>6</v>
      </c>
      <c r="B22" cm="1">
        <f t="array" ref="B22">funkcja_dwoch_zmiennych($A22,B$5)</f>
        <v>-6.6834053613210723E-2</v>
      </c>
      <c r="C22" cm="1">
        <f t="array" ref="C22">funkcja_dwoch_zmiennych($A22,C$5)</f>
        <v>-9.014084393330625E-2</v>
      </c>
      <c r="D22" cm="1">
        <f t="array" ref="D22">funkcja_dwoch_zmiennych($A22,D$5)</f>
        <v>-5.3863476325680178E-2</v>
      </c>
      <c r="E22" cm="1">
        <f t="array" ref="E22">funkcja_dwoch_zmiennych($A22,E$5)</f>
        <v>2.1867567608111083E-2</v>
      </c>
      <c r="F22" cm="1">
        <f t="array" ref="F22">funkcja_dwoch_zmiennych($A22,F$5)</f>
        <v>9.402849547557561E-2</v>
      </c>
      <c r="G22" cm="1">
        <f t="array" ref="G22">funkcja_dwoch_zmiennych($A22,G$5)</f>
        <v>0.12629739278076232</v>
      </c>
      <c r="H22" cm="1">
        <f t="array" ref="H22">funkcja_dwoch_zmiennych($A22,H$5)</f>
        <v>0.1094736471116801</v>
      </c>
      <c r="I22" cm="1">
        <f t="array" ref="I22">funkcja_dwoch_zmiennych($A22,I$5)</f>
        <v>6.0564835329230252E-2</v>
      </c>
      <c r="J22" cm="1">
        <f t="array" ref="J22">funkcja_dwoch_zmiennych($A22,J$5)</f>
        <v>6.4375215809187062E-3</v>
      </c>
      <c r="K22" cm="1">
        <f t="array" ref="K22">funkcja_dwoch_zmiennych($A22,K$5)</f>
        <v>-3.2199791200669042E-2</v>
      </c>
      <c r="L22" cm="1">
        <f t="array" ref="L22">funkcja_dwoch_zmiennych($A22,L$5)</f>
        <v>-4.5805819376873093E-2</v>
      </c>
      <c r="M22" cm="1">
        <f t="array" ref="M22">funkcja_dwoch_zmiennych($A22,M$5)</f>
        <v>-3.2199791200669042E-2</v>
      </c>
      <c r="N22" cm="1">
        <f t="array" ref="N22">funkcja_dwoch_zmiennych($A22,N$5)</f>
        <v>6.4375215809187062E-3</v>
      </c>
      <c r="O22" cm="1">
        <f t="array" ref="O22">funkcja_dwoch_zmiennych($A22,O$5)</f>
        <v>6.0564835329230252E-2</v>
      </c>
      <c r="P22" cm="1">
        <f t="array" ref="P22">funkcja_dwoch_zmiennych($A22,P$5)</f>
        <v>0.1094736471116801</v>
      </c>
      <c r="Q22" cm="1">
        <f t="array" ref="Q22">funkcja_dwoch_zmiennych($A22,Q$5)</f>
        <v>0.12629739278076232</v>
      </c>
      <c r="R22" cm="1">
        <f t="array" ref="R22">funkcja_dwoch_zmiennych($A22,R$5)</f>
        <v>9.402849547557561E-2</v>
      </c>
      <c r="S22" cm="1">
        <f t="array" ref="S22">funkcja_dwoch_zmiennych($A22,S$5)</f>
        <v>2.1867567608111083E-2</v>
      </c>
      <c r="T22" cm="1">
        <f t="array" ref="T22">funkcja_dwoch_zmiennych($A22,T$5)</f>
        <v>-5.3863476325680178E-2</v>
      </c>
      <c r="U22" cm="1">
        <f t="array" ref="U22">funkcja_dwoch_zmiennych($A22,U$5)</f>
        <v>-9.014084393330625E-2</v>
      </c>
    </row>
    <row r="23" spans="1:21" x14ac:dyDescent="0.2">
      <c r="A23">
        <f t="shared" si="1"/>
        <v>7</v>
      </c>
      <c r="B23" cm="1">
        <f t="array" ref="B23">funkcja_dwoch_zmiennych($A23,B$5)</f>
        <v>-2.8610855550739372E-2</v>
      </c>
      <c r="C23" cm="1">
        <f t="array" ref="C23">funkcja_dwoch_zmiennych($A23,C$5)</f>
        <v>-7.9869279908175841E-2</v>
      </c>
      <c r="D23" cm="1">
        <f t="array" ref="D23">funkcja_dwoch_zmiennych($A23,D$5)</f>
        <v>-8.7041755809558863E-2</v>
      </c>
      <c r="E23" cm="1">
        <f t="array" ref="E23">funkcja_dwoch_zmiennych($A23,E$5)</f>
        <v>-4.5710982448548022E-2</v>
      </c>
      <c r="F23" cm="1">
        <f t="array" ref="F23">funkcja_dwoch_zmiennych($A23,F$5)</f>
        <v>2.1867567608111083E-2</v>
      </c>
      <c r="G23" cm="1">
        <f t="array" ref="G23">funkcja_dwoch_zmiennych($A23,G$5)</f>
        <v>8.4209321768477521E-2</v>
      </c>
      <c r="H23" cm="1">
        <f t="array" ref="H23">funkcja_dwoch_zmiennych($A23,H$5)</f>
        <v>0.11986742547288094</v>
      </c>
      <c r="I23" cm="1">
        <f t="array" ref="I23">funkcja_dwoch_zmiennych($A23,I$5)</f>
        <v>0.12594489757185887</v>
      </c>
      <c r="J23" cm="1">
        <f t="array" ref="J23">funkcja_dwoch_zmiennych($A23,J$5)</f>
        <v>0.11379306883619703</v>
      </c>
      <c r="K23" cm="1">
        <f t="array" ref="K23">funkcja_dwoch_zmiennych($A23,K$5)</f>
        <v>9.8850172726736366E-2</v>
      </c>
      <c r="L23" cm="1">
        <f t="array" ref="L23">funkcja_dwoch_zmiennych($A23,L$5)</f>
        <v>9.2533323763209732E-2</v>
      </c>
      <c r="M23" cm="1">
        <f t="array" ref="M23">funkcja_dwoch_zmiennych($A23,M$5)</f>
        <v>9.8850172726736366E-2</v>
      </c>
      <c r="N23" cm="1">
        <f t="array" ref="N23">funkcja_dwoch_zmiennych($A23,N$5)</f>
        <v>0.11379306883619703</v>
      </c>
      <c r="O23" cm="1">
        <f t="array" ref="O23">funkcja_dwoch_zmiennych($A23,O$5)</f>
        <v>0.12594489757185887</v>
      </c>
      <c r="P23" cm="1">
        <f t="array" ref="P23">funkcja_dwoch_zmiennych($A23,P$5)</f>
        <v>0.11986742547288094</v>
      </c>
      <c r="Q23" cm="1">
        <f t="array" ref="Q23">funkcja_dwoch_zmiennych($A23,Q$5)</f>
        <v>8.4209321768477521E-2</v>
      </c>
      <c r="R23" cm="1">
        <f t="array" ref="R23">funkcja_dwoch_zmiennych($A23,R$5)</f>
        <v>2.1867567608111083E-2</v>
      </c>
      <c r="S23" cm="1">
        <f t="array" ref="S23">funkcja_dwoch_zmiennych($A23,S$5)</f>
        <v>-4.5710982448548022E-2</v>
      </c>
      <c r="T23" cm="1">
        <f t="array" ref="T23">funkcja_dwoch_zmiennych($A23,T$5)</f>
        <v>-8.7041755809558863E-2</v>
      </c>
      <c r="U23" cm="1">
        <f t="array" ref="U23">funkcja_dwoch_zmiennych($A23,U$5)</f>
        <v>-7.9869279908175841E-2</v>
      </c>
    </row>
    <row r="24" spans="1:21" x14ac:dyDescent="0.2">
      <c r="A24">
        <f t="shared" si="1"/>
        <v>8</v>
      </c>
      <c r="B24" cm="1">
        <f t="array" ref="B24">funkcja_dwoch_zmiennych($A24,B$5)</f>
        <v>1.8408446605443881E-2</v>
      </c>
      <c r="C24" cm="1">
        <f t="array" ref="C24">funkcja_dwoch_zmiennych($A24,C$5)</f>
        <v>-4.1264694440881371E-2</v>
      </c>
      <c r="D24" cm="1">
        <f t="array" ref="D24">funkcja_dwoch_zmiennych($A24,D$5)</f>
        <v>-8.3217534449881794E-2</v>
      </c>
      <c r="E24" cm="1">
        <f t="array" ref="E24">funkcja_dwoch_zmiennych($A24,E$5)</f>
        <v>-8.7041755809558863E-2</v>
      </c>
      <c r="F24" cm="1">
        <f t="array" ref="F24">funkcja_dwoch_zmiennych($A24,F$5)</f>
        <v>-5.3863476325680178E-2</v>
      </c>
      <c r="G24" cm="1">
        <f t="array" ref="G24">funkcja_dwoch_zmiennych($A24,G$5)</f>
        <v>-9.6528839785945048E-4</v>
      </c>
      <c r="H24" cm="1">
        <f t="array" ref="H24">funkcja_dwoch_zmiennych($A24,H$5)</f>
        <v>5.1107262746848695E-2</v>
      </c>
      <c r="I24" cm="1">
        <f t="array" ref="I24">funkcja_dwoch_zmiennych($A24,I$5)</f>
        <v>8.9221611054293132E-2</v>
      </c>
      <c r="J24" cm="1">
        <f t="array" ref="J24">funkcja_dwoch_zmiennych($A24,J$5)</f>
        <v>0.11071599545486101</v>
      </c>
      <c r="K24" cm="1">
        <f t="array" ref="K24">funkcja_dwoch_zmiennych($A24,K$5)</f>
        <v>0.11986742547288094</v>
      </c>
      <c r="L24" cm="1">
        <f t="array" ref="L24">funkcja_dwoch_zmiennych($A24,L$5)</f>
        <v>0.12214299341029405</v>
      </c>
      <c r="M24" cm="1">
        <f t="array" ref="M24">funkcja_dwoch_zmiennych($A24,M$5)</f>
        <v>0.11986742547288094</v>
      </c>
      <c r="N24" cm="1">
        <f t="array" ref="N24">funkcja_dwoch_zmiennych($A24,N$5)</f>
        <v>0.11071599545486101</v>
      </c>
      <c r="O24" cm="1">
        <f t="array" ref="O24">funkcja_dwoch_zmiennych($A24,O$5)</f>
        <v>8.9221611054293132E-2</v>
      </c>
      <c r="P24" cm="1">
        <f t="array" ref="P24">funkcja_dwoch_zmiennych($A24,P$5)</f>
        <v>5.1107262746848695E-2</v>
      </c>
      <c r="Q24" cm="1">
        <f t="array" ref="Q24">funkcja_dwoch_zmiennych($A24,Q$5)</f>
        <v>-9.6528839785945048E-4</v>
      </c>
      <c r="R24" cm="1">
        <f t="array" ref="R24">funkcja_dwoch_zmiennych($A24,R$5)</f>
        <v>-5.3863476325680178E-2</v>
      </c>
      <c r="S24" cm="1">
        <f t="array" ref="S24">funkcja_dwoch_zmiennych($A24,S$5)</f>
        <v>-8.7041755809558863E-2</v>
      </c>
      <c r="T24" cm="1">
        <f t="array" ref="T24">funkcja_dwoch_zmiennych($A24,T$5)</f>
        <v>-8.3217534449881794E-2</v>
      </c>
      <c r="U24" cm="1">
        <f t="array" ref="U24">funkcja_dwoch_zmiennych($A24,U$5)</f>
        <v>-4.1264694440881371E-2</v>
      </c>
    </row>
    <row r="25" spans="1:21" x14ac:dyDescent="0.2">
      <c r="A25">
        <f t="shared" si="1"/>
        <v>9</v>
      </c>
      <c r="B25" cm="1">
        <f t="array" ref="B25">funkcja_dwoch_zmiennych($A25,B$5)</f>
        <v>5.7205371312972299E-2</v>
      </c>
      <c r="C25" cm="1">
        <f t="array" ref="C25">funkcja_dwoch_zmiennych($A25,C$5)</f>
        <v>1.2539025751622282E-2</v>
      </c>
      <c r="D25" cm="1">
        <f t="array" ref="D25">funkcja_dwoch_zmiennych($A25,D$5)</f>
        <v>-4.1264694440881371E-2</v>
      </c>
      <c r="E25" cm="1">
        <f t="array" ref="E25">funkcja_dwoch_zmiennych($A25,E$5)</f>
        <v>-7.9869279908175841E-2</v>
      </c>
      <c r="F25" cm="1">
        <f t="array" ref="F25">funkcja_dwoch_zmiennych($A25,F$5)</f>
        <v>-9.014084393330625E-2</v>
      </c>
      <c r="G25" cm="1">
        <f t="array" ref="G25">funkcja_dwoch_zmiennych($A25,G$5)</f>
        <v>-7.3576893125370316E-2</v>
      </c>
      <c r="H25" cm="1">
        <f t="array" ref="H25">funkcja_dwoch_zmiennych($A25,H$5)</f>
        <v>-4.1359753555614609E-2</v>
      </c>
      <c r="I25" cm="1">
        <f t="array" ref="I25">funkcja_dwoch_zmiennych($A25,I$5)</f>
        <v>-6.4687890520678743E-3</v>
      </c>
      <c r="J25" cm="1">
        <f t="array" ref="J25">funkcja_dwoch_zmiennych($A25,J$5)</f>
        <v>2.1867567608111083E-2</v>
      </c>
      <c r="K25" cm="1">
        <f t="array" ref="K25">funkcja_dwoch_zmiennych($A25,K$5)</f>
        <v>3.9435727916519343E-2</v>
      </c>
      <c r="L25" cm="1">
        <f t="array" ref="L25">funkcja_dwoch_zmiennych($A25,L$5)</f>
        <v>4.5287745630962266E-2</v>
      </c>
      <c r="M25" cm="1">
        <f t="array" ref="M25">funkcja_dwoch_zmiennych($A25,M$5)</f>
        <v>3.9435727916519343E-2</v>
      </c>
      <c r="N25" cm="1">
        <f t="array" ref="N25">funkcja_dwoch_zmiennych($A25,N$5)</f>
        <v>2.1867567608111083E-2</v>
      </c>
      <c r="O25" cm="1">
        <f t="array" ref="O25">funkcja_dwoch_zmiennych($A25,O$5)</f>
        <v>-6.4687890520678743E-3</v>
      </c>
      <c r="P25" cm="1">
        <f t="array" ref="P25">funkcja_dwoch_zmiennych($A25,P$5)</f>
        <v>-4.1359753555614609E-2</v>
      </c>
      <c r="Q25" cm="1">
        <f t="array" ref="Q25">funkcja_dwoch_zmiennych($A25,Q$5)</f>
        <v>-7.3576893125370316E-2</v>
      </c>
      <c r="R25" cm="1">
        <f t="array" ref="R25">funkcja_dwoch_zmiennych($A25,R$5)</f>
        <v>-9.014084393330625E-2</v>
      </c>
      <c r="S25" cm="1">
        <f t="array" ref="S25">funkcja_dwoch_zmiennych($A25,S$5)</f>
        <v>-7.9869279908175841E-2</v>
      </c>
      <c r="T25" cm="1">
        <f t="array" ref="T25">funkcja_dwoch_zmiennych($A25,T$5)</f>
        <v>-4.1264694440881371E-2</v>
      </c>
      <c r="U25" cm="1">
        <f t="array" ref="U25">funkcja_dwoch_zmiennych($A25,U$5)</f>
        <v>1.2539025751622282E-2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27DE-C524-5944-B3B0-C7D430143F35}">
  <sheetPr codeName="Arkusz2"/>
  <dimension ref="A1:L86"/>
  <sheetViews>
    <sheetView tabSelected="1" zoomScale="141" workbookViewId="0">
      <selection activeCell="I22" sqref="I22"/>
    </sheetView>
  </sheetViews>
  <sheetFormatPr baseColWidth="10" defaultRowHeight="16" x14ac:dyDescent="0.2"/>
  <cols>
    <col min="9" max="9" width="12.5" bestFit="1" customWidth="1"/>
    <col min="12" max="12" width="11.5" bestFit="1" customWidth="1"/>
  </cols>
  <sheetData>
    <row r="1" spans="1:12" x14ac:dyDescent="0.2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10</v>
      </c>
      <c r="H1" t="s">
        <v>11</v>
      </c>
      <c r="I1" t="s">
        <v>0</v>
      </c>
      <c r="J1" t="s">
        <v>1</v>
      </c>
      <c r="K1" t="s">
        <v>2</v>
      </c>
      <c r="L1" t="s">
        <v>3</v>
      </c>
    </row>
    <row r="2" spans="1:12" x14ac:dyDescent="0.2">
      <c r="A2">
        <v>0</v>
      </c>
      <c r="B2">
        <f>(2^(A2 + 1) * FACT(A2)^2) / FACT(A2 * 2 + 1)</f>
        <v>2</v>
      </c>
      <c r="D2">
        <f>4*((-1)^A2 / (2*A2 + 1))</f>
        <v>4</v>
      </c>
      <c r="H2" t="s">
        <v>12</v>
      </c>
      <c r="I2">
        <f>ABS(PI() - B86)</f>
        <v>8.8817841970012523E-16</v>
      </c>
      <c r="J2">
        <f>ABS( PI() -C86)</f>
        <v>9.2808628083762557E-3</v>
      </c>
      <c r="K2">
        <f>ABS(PI() -D86)</f>
        <v>1.1764298869504586E-2</v>
      </c>
      <c r="L2">
        <f>ABS(PI() - E86)</f>
        <v>3.9968028886505635E-15</v>
      </c>
    </row>
    <row r="3" spans="1:12" x14ac:dyDescent="0.2">
      <c r="A3">
        <v>1</v>
      </c>
      <c r="B3">
        <f xml:space="preserve"> B2 + 2^(A3 + 1) * FACT(A3)^2  / FACT(A3 * 2 + 1)</f>
        <v>2.6666666666666665</v>
      </c>
      <c r="C3">
        <f>2*(4*(A3^2)/((2*A3-1)*(2*A3+1)))</f>
        <v>2.6666666666666665</v>
      </c>
      <c r="D3">
        <f>D2 + 4*(((-1)^A3) / (2*A3 + 1))</f>
        <v>2.666666666666667</v>
      </c>
      <c r="E3">
        <f>2* SQRT(2)</f>
        <v>2.8284271247461903</v>
      </c>
      <c r="F3">
        <f xml:space="preserve"> SQRT(2)</f>
        <v>1.4142135623730951</v>
      </c>
      <c r="H3" t="s">
        <v>14</v>
      </c>
      <c r="I3">
        <f xml:space="preserve"> MIN(I2:L2)</f>
        <v>8.8817841970012523E-16</v>
      </c>
      <c r="J3" t="s">
        <v>13</v>
      </c>
    </row>
    <row r="4" spans="1:12" x14ac:dyDescent="0.2">
      <c r="A4">
        <v>2</v>
      </c>
      <c r="B4">
        <f t="shared" ref="B4:B67" si="0" xml:space="preserve"> B3 + 2^(A4 + 1) * FACT(A4)^2  / FACT(A4 * 2 + 1)</f>
        <v>2.9333333333333331</v>
      </c>
      <c r="C4">
        <f xml:space="preserve"> (4*(A4^2)/((2*A4-1)*(2*A4+1)))*C3</f>
        <v>2.8444444444444441</v>
      </c>
      <c r="D4">
        <f t="shared" ref="D4:D67" si="1">D3 + 4*(((-1)^A4) / (2*A4 + 1))</f>
        <v>3.4666666666666668</v>
      </c>
      <c r="E4">
        <f xml:space="preserve"> E3*2/F4</f>
        <v>3.0614674589207183</v>
      </c>
      <c r="F4">
        <f xml:space="preserve"> SQRT(2 + F3)</f>
        <v>1.8477590650225735</v>
      </c>
    </row>
    <row r="5" spans="1:12" x14ac:dyDescent="0.2">
      <c r="A5">
        <v>3</v>
      </c>
      <c r="B5">
        <f t="shared" si="0"/>
        <v>3.0476190476190474</v>
      </c>
      <c r="C5">
        <f t="shared" ref="C5:C68" si="2" xml:space="preserve"> (4*(A5^2)/((2*A5-1)*(2*A5+1)))*C4</f>
        <v>2.9257142857142853</v>
      </c>
      <c r="D5">
        <f t="shared" si="1"/>
        <v>2.8952380952380956</v>
      </c>
      <c r="E5">
        <f>E4 * (2 / F5)</f>
        <v>3.1214451522580524</v>
      </c>
      <c r="F5">
        <f t="shared" ref="F5:F68" si="3" xml:space="preserve"> SQRT(2 + F4)</f>
        <v>1.9615705608064609</v>
      </c>
    </row>
    <row r="6" spans="1:12" x14ac:dyDescent="0.2">
      <c r="A6">
        <v>4</v>
      </c>
      <c r="B6">
        <f t="shared" si="0"/>
        <v>3.0984126984126981</v>
      </c>
      <c r="C6">
        <f t="shared" si="2"/>
        <v>2.972154195011337</v>
      </c>
      <c r="D6">
        <f t="shared" si="1"/>
        <v>3.3396825396825403</v>
      </c>
      <c r="E6">
        <f t="shared" ref="E6:E69" si="4">E5 * (2 / F6)</f>
        <v>3.1365484905459393</v>
      </c>
      <c r="F6">
        <f t="shared" si="3"/>
        <v>1.9903694533443939</v>
      </c>
    </row>
    <row r="7" spans="1:12" x14ac:dyDescent="0.2">
      <c r="A7">
        <v>5</v>
      </c>
      <c r="B7">
        <f t="shared" si="0"/>
        <v>3.1215007215007211</v>
      </c>
      <c r="C7">
        <f t="shared" si="2"/>
        <v>3.0021759545569062</v>
      </c>
      <c r="D7">
        <f t="shared" si="1"/>
        <v>2.9760461760461765</v>
      </c>
      <c r="E7">
        <f t="shared" si="4"/>
        <v>3.140331156954753</v>
      </c>
      <c r="F7">
        <f t="shared" si="3"/>
        <v>1.9975909124103448</v>
      </c>
    </row>
    <row r="8" spans="1:12" x14ac:dyDescent="0.2">
      <c r="A8">
        <v>6</v>
      </c>
      <c r="B8">
        <f t="shared" si="0"/>
        <v>3.1321567321567318</v>
      </c>
      <c r="C8">
        <f t="shared" si="2"/>
        <v>3.0231701920013605</v>
      </c>
      <c r="D8">
        <f t="shared" si="1"/>
        <v>3.2837384837384844</v>
      </c>
      <c r="E8">
        <f t="shared" si="4"/>
        <v>3.1412772509327729</v>
      </c>
      <c r="F8">
        <f t="shared" si="3"/>
        <v>1.9993976373924085</v>
      </c>
    </row>
    <row r="9" spans="1:12" x14ac:dyDescent="0.2">
      <c r="A9">
        <v>7</v>
      </c>
      <c r="B9">
        <f t="shared" si="0"/>
        <v>3.1371295371295367</v>
      </c>
      <c r="C9">
        <f t="shared" si="2"/>
        <v>3.0386736288834189</v>
      </c>
      <c r="D9">
        <f t="shared" si="1"/>
        <v>3.0170718170718178</v>
      </c>
      <c r="E9">
        <f t="shared" si="4"/>
        <v>3.1415138011443009</v>
      </c>
      <c r="F9">
        <f t="shared" si="3"/>
        <v>1.999849403678289</v>
      </c>
    </row>
    <row r="10" spans="1:12" x14ac:dyDescent="0.2">
      <c r="A10">
        <v>8</v>
      </c>
      <c r="B10">
        <f t="shared" si="0"/>
        <v>3.1394696806461506</v>
      </c>
      <c r="C10">
        <f t="shared" si="2"/>
        <v>3.0505899960555105</v>
      </c>
      <c r="D10">
        <f t="shared" si="1"/>
        <v>3.2523659347188767</v>
      </c>
      <c r="E10">
        <f t="shared" si="4"/>
        <v>3.1415729403670918</v>
      </c>
      <c r="F10">
        <f t="shared" si="3"/>
        <v>1.9999623505652022</v>
      </c>
    </row>
    <row r="11" spans="1:12" x14ac:dyDescent="0.2">
      <c r="A11">
        <v>9</v>
      </c>
      <c r="B11">
        <f t="shared" si="0"/>
        <v>3.1405781696803361</v>
      </c>
      <c r="C11">
        <f t="shared" si="2"/>
        <v>3.0600345471268899</v>
      </c>
      <c r="D11">
        <f t="shared" si="1"/>
        <v>3.0418396189294032</v>
      </c>
      <c r="E11">
        <f t="shared" si="4"/>
        <v>3.14158772527716</v>
      </c>
      <c r="F11">
        <f t="shared" si="3"/>
        <v>1.9999905876191524</v>
      </c>
    </row>
    <row r="12" spans="1:12" x14ac:dyDescent="0.2">
      <c r="A12">
        <v>10</v>
      </c>
      <c r="B12">
        <f t="shared" si="0"/>
        <v>3.1411060216013769</v>
      </c>
      <c r="C12">
        <f t="shared" si="2"/>
        <v>3.0677038066434985</v>
      </c>
      <c r="D12">
        <f t="shared" si="1"/>
        <v>3.2323158094055939</v>
      </c>
      <c r="E12">
        <f t="shared" si="4"/>
        <v>3.1415914215112002</v>
      </c>
      <c r="F12">
        <f t="shared" si="3"/>
        <v>1.9999976469034038</v>
      </c>
    </row>
    <row r="13" spans="1:12" x14ac:dyDescent="0.2">
      <c r="A13">
        <v>11</v>
      </c>
      <c r="B13">
        <f t="shared" si="0"/>
        <v>3.1413584725201353</v>
      </c>
      <c r="C13">
        <f t="shared" si="2"/>
        <v>3.0740551602804418</v>
      </c>
      <c r="D13">
        <f t="shared" si="1"/>
        <v>3.0584027659273332</v>
      </c>
      <c r="E13">
        <f t="shared" si="4"/>
        <v>3.141592345570118</v>
      </c>
      <c r="F13">
        <f t="shared" si="3"/>
        <v>1.9999994117257645</v>
      </c>
    </row>
    <row r="14" spans="1:12" x14ac:dyDescent="0.2">
      <c r="A14">
        <v>12</v>
      </c>
      <c r="B14">
        <f t="shared" si="0"/>
        <v>3.1414796489611394</v>
      </c>
      <c r="C14">
        <f t="shared" si="2"/>
        <v>3.0794013431678864</v>
      </c>
      <c r="D14">
        <f t="shared" si="1"/>
        <v>3.2184027659273333</v>
      </c>
      <c r="E14">
        <f t="shared" si="4"/>
        <v>3.1415925765848729</v>
      </c>
      <c r="F14">
        <f t="shared" si="3"/>
        <v>1.9999998529314358</v>
      </c>
    </row>
    <row r="15" spans="1:12" x14ac:dyDescent="0.2">
      <c r="A15">
        <v>13</v>
      </c>
      <c r="B15">
        <f t="shared" si="0"/>
        <v>3.1415379931734746</v>
      </c>
      <c r="C15">
        <f t="shared" si="2"/>
        <v>3.0839634192318388</v>
      </c>
      <c r="D15">
        <f t="shared" si="1"/>
        <v>3.0702546177791854</v>
      </c>
      <c r="E15">
        <f t="shared" si="4"/>
        <v>3.1415926343385636</v>
      </c>
      <c r="F15">
        <f t="shared" si="3"/>
        <v>1.9999999632328584</v>
      </c>
    </row>
    <row r="16" spans="1:12" x14ac:dyDescent="0.2">
      <c r="A16">
        <v>14</v>
      </c>
      <c r="B16">
        <f t="shared" si="0"/>
        <v>3.1415661593449467</v>
      </c>
      <c r="C16">
        <f t="shared" si="2"/>
        <v>3.087902069831113</v>
      </c>
      <c r="D16">
        <f t="shared" si="1"/>
        <v>3.2081856522619439</v>
      </c>
      <c r="E16">
        <f t="shared" si="4"/>
        <v>3.1415926487769865</v>
      </c>
      <c r="F16">
        <f t="shared" si="3"/>
        <v>1.9999999908082147</v>
      </c>
    </row>
    <row r="17" spans="1:6" x14ac:dyDescent="0.2">
      <c r="A17">
        <v>15</v>
      </c>
      <c r="B17">
        <f t="shared" si="0"/>
        <v>3.1415797881375944</v>
      </c>
      <c r="C17">
        <f t="shared" si="2"/>
        <v>3.0913368885962198</v>
      </c>
      <c r="D17">
        <f t="shared" si="1"/>
        <v>3.0791533941974278</v>
      </c>
      <c r="E17">
        <f t="shared" si="4"/>
        <v>3.141592652386592</v>
      </c>
      <c r="F17">
        <f t="shared" si="3"/>
        <v>1.9999999977020537</v>
      </c>
    </row>
    <row r="18" spans="1:6" x14ac:dyDescent="0.2">
      <c r="A18">
        <v>16</v>
      </c>
      <c r="B18">
        <f t="shared" si="0"/>
        <v>3.1415863960370602</v>
      </c>
      <c r="C18">
        <f t="shared" si="2"/>
        <v>3.0943587232869296</v>
      </c>
      <c r="D18">
        <f t="shared" si="1"/>
        <v>3.2003655154095489</v>
      </c>
      <c r="E18">
        <f t="shared" si="4"/>
        <v>3.1415926532889937</v>
      </c>
      <c r="F18">
        <f t="shared" si="3"/>
        <v>1.9999999994255133</v>
      </c>
    </row>
    <row r="19" spans="1:6" x14ac:dyDescent="0.2">
      <c r="A19">
        <v>17</v>
      </c>
      <c r="B19">
        <f t="shared" si="0"/>
        <v>3.1415896055882291</v>
      </c>
      <c r="C19">
        <f t="shared" si="2"/>
        <v>3.0970378217486498</v>
      </c>
      <c r="D19">
        <f t="shared" si="1"/>
        <v>3.0860798011238346</v>
      </c>
      <c r="E19">
        <f t="shared" si="4"/>
        <v>3.1415926535145946</v>
      </c>
      <c r="F19">
        <f t="shared" si="3"/>
        <v>1.9999999998563782</v>
      </c>
    </row>
    <row r="20" spans="1:6" x14ac:dyDescent="0.2">
      <c r="A20">
        <v>18</v>
      </c>
      <c r="B20">
        <f t="shared" si="0"/>
        <v>3.1415911669915006</v>
      </c>
      <c r="C20">
        <f t="shared" si="2"/>
        <v>3.0994293567461395</v>
      </c>
      <c r="D20">
        <f t="shared" si="1"/>
        <v>3.1941879092319425</v>
      </c>
      <c r="E20">
        <f t="shared" si="4"/>
        <v>3.1415926535709948</v>
      </c>
      <c r="F20">
        <f t="shared" si="3"/>
        <v>1.9999999999640945</v>
      </c>
    </row>
    <row r="21" spans="1:6" x14ac:dyDescent="0.2">
      <c r="A21">
        <v>19</v>
      </c>
      <c r="B21">
        <f t="shared" si="0"/>
        <v>3.1415919276751456</v>
      </c>
      <c r="C21">
        <f t="shared" si="2"/>
        <v>3.101577263438271</v>
      </c>
      <c r="D21">
        <f t="shared" si="1"/>
        <v>3.0916238066678399</v>
      </c>
      <c r="E21">
        <f t="shared" si="4"/>
        <v>3.1415926535850951</v>
      </c>
      <c r="F21">
        <f t="shared" si="3"/>
        <v>1.9999999999910236</v>
      </c>
    </row>
    <row r="22" spans="1:6" x14ac:dyDescent="0.2">
      <c r="A22">
        <v>20</v>
      </c>
      <c r="B22">
        <f t="shared" si="0"/>
        <v>3.1415922987403384</v>
      </c>
      <c r="C22">
        <f t="shared" si="2"/>
        <v>3.1035169615392331</v>
      </c>
      <c r="D22">
        <f t="shared" si="1"/>
        <v>3.1891847822775961</v>
      </c>
      <c r="E22">
        <f t="shared" si="4"/>
        <v>3.1415926535886207</v>
      </c>
      <c r="F22">
        <f t="shared" si="3"/>
        <v>1.9999999999977558</v>
      </c>
    </row>
    <row r="23" spans="1:6" x14ac:dyDescent="0.2">
      <c r="A23">
        <v>21</v>
      </c>
      <c r="B23">
        <f t="shared" si="0"/>
        <v>3.1415924799582231</v>
      </c>
      <c r="C23">
        <f t="shared" si="2"/>
        <v>3.1052773228333561</v>
      </c>
      <c r="D23">
        <f t="shared" si="1"/>
        <v>3.0961615264636424</v>
      </c>
      <c r="E23">
        <f t="shared" si="4"/>
        <v>3.1415926535895022</v>
      </c>
      <c r="F23">
        <f t="shared" si="3"/>
        <v>1.9999999999994389</v>
      </c>
    </row>
    <row r="24" spans="1:6" x14ac:dyDescent="0.2">
      <c r="A24">
        <v>22</v>
      </c>
      <c r="B24">
        <f t="shared" si="0"/>
        <v>3.1415925685536337</v>
      </c>
      <c r="C24">
        <f t="shared" si="2"/>
        <v>3.1068821173154406</v>
      </c>
      <c r="D24">
        <f t="shared" si="1"/>
        <v>3.1850504153525314</v>
      </c>
      <c r="E24">
        <f t="shared" si="4"/>
        <v>3.1415926535897225</v>
      </c>
      <c r="F24">
        <f t="shared" si="3"/>
        <v>1.9999999999998597</v>
      </c>
    </row>
    <row r="25" spans="1:6" x14ac:dyDescent="0.2">
      <c r="A25">
        <v>23</v>
      </c>
      <c r="B25">
        <f t="shared" si="0"/>
        <v>3.1415926119088344</v>
      </c>
      <c r="C25">
        <f t="shared" si="2"/>
        <v>3.108351092311807</v>
      </c>
      <c r="D25">
        <f t="shared" si="1"/>
        <v>3.0999440323738079</v>
      </c>
      <c r="E25">
        <f t="shared" si="4"/>
        <v>3.1415926535897776</v>
      </c>
      <c r="F25">
        <f t="shared" si="3"/>
        <v>1.9999999999999649</v>
      </c>
    </row>
    <row r="26" spans="1:6" x14ac:dyDescent="0.2">
      <c r="A26">
        <v>24</v>
      </c>
      <c r="B26">
        <f t="shared" si="0"/>
        <v>3.1415926331440347</v>
      </c>
      <c r="C26">
        <f t="shared" si="2"/>
        <v>3.1097007888347385</v>
      </c>
      <c r="D26">
        <f t="shared" si="1"/>
        <v>3.1815766854350325</v>
      </c>
      <c r="E26">
        <f t="shared" si="4"/>
        <v>3.1415926535897913</v>
      </c>
      <c r="F26">
        <f t="shared" si="3"/>
        <v>1.9999999999999911</v>
      </c>
    </row>
    <row r="27" spans="1:6" x14ac:dyDescent="0.2">
      <c r="A27">
        <v>25</v>
      </c>
      <c r="B27">
        <f t="shared" si="0"/>
        <v>3.1415926435534467</v>
      </c>
      <c r="C27">
        <f t="shared" si="2"/>
        <v>3.1109451669014989</v>
      </c>
      <c r="D27">
        <f t="shared" si="1"/>
        <v>3.1031453128860127</v>
      </c>
      <c r="E27">
        <f t="shared" si="4"/>
        <v>3.1415926535897949</v>
      </c>
      <c r="F27">
        <f t="shared" si="3"/>
        <v>1.9999999999999978</v>
      </c>
    </row>
    <row r="28" spans="1:6" x14ac:dyDescent="0.2">
      <c r="A28">
        <v>26</v>
      </c>
      <c r="B28">
        <f t="shared" si="0"/>
        <v>3.1415926486599508</v>
      </c>
      <c r="C28">
        <f t="shared" si="2"/>
        <v>3.1120960900117107</v>
      </c>
      <c r="D28">
        <f t="shared" si="1"/>
        <v>3.1786170109992202</v>
      </c>
      <c r="E28">
        <f t="shared" si="4"/>
        <v>3.1415926535897962</v>
      </c>
      <c r="F28">
        <f t="shared" si="3"/>
        <v>1.9999999999999993</v>
      </c>
    </row>
    <row r="29" spans="1:6" x14ac:dyDescent="0.2">
      <c r="A29">
        <v>27</v>
      </c>
      <c r="B29">
        <f t="shared" si="0"/>
        <v>3.1415926511667802</v>
      </c>
      <c r="C29">
        <f t="shared" si="2"/>
        <v>3.1131637044508227</v>
      </c>
      <c r="D29">
        <f t="shared" si="1"/>
        <v>3.1058897382719475</v>
      </c>
      <c r="E29">
        <f t="shared" si="4"/>
        <v>3.1415926535897971</v>
      </c>
      <c r="F29">
        <f t="shared" si="3"/>
        <v>1.9999999999999998</v>
      </c>
    </row>
    <row r="30" spans="1:6" x14ac:dyDescent="0.2">
      <c r="A30">
        <v>28</v>
      </c>
      <c r="B30">
        <f t="shared" si="0"/>
        <v>3.141592652398205</v>
      </c>
      <c r="C30">
        <f t="shared" si="2"/>
        <v>3.1141567391252885</v>
      </c>
      <c r="D30">
        <f t="shared" si="1"/>
        <v>3.1760651768684385</v>
      </c>
      <c r="E30">
        <f t="shared" si="4"/>
        <v>3.1415926535897971</v>
      </c>
      <c r="F30">
        <f t="shared" si="3"/>
        <v>2</v>
      </c>
    </row>
    <row r="31" spans="1:6" x14ac:dyDescent="0.2">
      <c r="A31">
        <v>29</v>
      </c>
      <c r="B31">
        <f t="shared" si="0"/>
        <v>3.1415926530034817</v>
      </c>
      <c r="C31">
        <f t="shared" si="2"/>
        <v>3.1150827446974341</v>
      </c>
      <c r="D31">
        <f t="shared" si="1"/>
        <v>3.1082685666989471</v>
      </c>
      <c r="E31">
        <f t="shared" si="4"/>
        <v>3.1415926535897971</v>
      </c>
      <c r="F31">
        <f t="shared" si="3"/>
        <v>2</v>
      </c>
    </row>
    <row r="32" spans="1:6" x14ac:dyDescent="0.2">
      <c r="A32">
        <v>30</v>
      </c>
      <c r="B32">
        <f t="shared" si="0"/>
        <v>3.1415926533011587</v>
      </c>
      <c r="C32">
        <f t="shared" si="2"/>
        <v>3.1159482858879586</v>
      </c>
      <c r="D32">
        <f t="shared" si="1"/>
        <v>3.1738423371907505</v>
      </c>
      <c r="E32">
        <f t="shared" si="4"/>
        <v>3.1415926535897971</v>
      </c>
      <c r="F32">
        <f t="shared" si="3"/>
        <v>2</v>
      </c>
    </row>
    <row r="33" spans="1:6" x14ac:dyDescent="0.2">
      <c r="A33">
        <v>31</v>
      </c>
      <c r="B33">
        <f t="shared" si="0"/>
        <v>3.1415926534476348</v>
      </c>
      <c r="C33">
        <f t="shared" si="2"/>
        <v>3.1167590973076535</v>
      </c>
      <c r="D33">
        <f t="shared" si="1"/>
        <v>3.1103502736986872</v>
      </c>
      <c r="E33">
        <f t="shared" si="4"/>
        <v>3.1415926535897971</v>
      </c>
      <c r="F33">
        <f t="shared" si="3"/>
        <v>2</v>
      </c>
    </row>
    <row r="34" spans="1:6" x14ac:dyDescent="0.2">
      <c r="A34">
        <v>32</v>
      </c>
      <c r="B34">
        <f t="shared" si="0"/>
        <v>3.141592653519746</v>
      </c>
      <c r="C34">
        <f t="shared" si="2"/>
        <v>3.1175202106403295</v>
      </c>
      <c r="D34">
        <f t="shared" si="1"/>
        <v>3.1718887352371485</v>
      </c>
      <c r="E34">
        <f t="shared" si="4"/>
        <v>3.1415926535897971</v>
      </c>
      <c r="F34">
        <f t="shared" si="3"/>
        <v>2</v>
      </c>
    </row>
    <row r="35" spans="1:6" x14ac:dyDescent="0.2">
      <c r="A35">
        <v>33</v>
      </c>
      <c r="B35">
        <f t="shared" si="0"/>
        <v>3.1415926535552634</v>
      </c>
      <c r="C35">
        <f t="shared" si="2"/>
        <v>3.1182360591387543</v>
      </c>
      <c r="D35">
        <f t="shared" si="1"/>
        <v>3.1121872426998349</v>
      </c>
      <c r="E35">
        <f t="shared" si="4"/>
        <v>3.1415926535897971</v>
      </c>
      <c r="F35">
        <f t="shared" si="3"/>
        <v>2</v>
      </c>
    </row>
    <row r="36" spans="1:6" x14ac:dyDescent="0.2">
      <c r="A36">
        <v>34</v>
      </c>
      <c r="B36">
        <f t="shared" si="0"/>
        <v>3.141592653572765</v>
      </c>
      <c r="C36">
        <f t="shared" si="2"/>
        <v>3.1189105640185164</v>
      </c>
      <c r="D36">
        <f t="shared" si="1"/>
        <v>3.1701582571925884</v>
      </c>
      <c r="E36">
        <f t="shared" si="4"/>
        <v>3.1415926535897971</v>
      </c>
      <c r="F36">
        <f t="shared" si="3"/>
        <v>2</v>
      </c>
    </row>
    <row r="37" spans="1:6" x14ac:dyDescent="0.2">
      <c r="A37">
        <v>35</v>
      </c>
      <c r="B37">
        <f t="shared" si="0"/>
        <v>3.1415926535813923</v>
      </c>
      <c r="C37">
        <f t="shared" si="2"/>
        <v>3.1195472063055179</v>
      </c>
      <c r="D37">
        <f t="shared" si="1"/>
        <v>3.1138202290235744</v>
      </c>
      <c r="E37">
        <f t="shared" si="4"/>
        <v>3.1415926535897971</v>
      </c>
      <c r="F37">
        <f t="shared" si="3"/>
        <v>2</v>
      </c>
    </row>
    <row r="38" spans="1:6" x14ac:dyDescent="0.2">
      <c r="A38">
        <v>36</v>
      </c>
      <c r="B38">
        <f t="shared" si="0"/>
        <v>3.1415926535856471</v>
      </c>
      <c r="C38">
        <f t="shared" si="2"/>
        <v>3.1201490869164199</v>
      </c>
      <c r="D38">
        <f t="shared" si="1"/>
        <v>3.1686147495715193</v>
      </c>
      <c r="E38">
        <f t="shared" si="4"/>
        <v>3.1415926535897971</v>
      </c>
      <c r="F38">
        <f t="shared" si="3"/>
        <v>2</v>
      </c>
    </row>
    <row r="39" spans="1:6" x14ac:dyDescent="0.2">
      <c r="A39">
        <v>37</v>
      </c>
      <c r="B39">
        <f t="shared" si="0"/>
        <v>3.1415926535877459</v>
      </c>
      <c r="C39">
        <f t="shared" si="2"/>
        <v>3.1207189771606059</v>
      </c>
      <c r="D39">
        <f t="shared" si="1"/>
        <v>3.1152814162381861</v>
      </c>
      <c r="E39">
        <f t="shared" si="4"/>
        <v>3.1415926535897971</v>
      </c>
      <c r="F39">
        <f t="shared" si="3"/>
        <v>2</v>
      </c>
    </row>
    <row r="40" spans="1:6" x14ac:dyDescent="0.2">
      <c r="A40">
        <v>38</v>
      </c>
      <c r="B40">
        <f t="shared" si="0"/>
        <v>3.1415926535887819</v>
      </c>
      <c r="C40">
        <f t="shared" si="2"/>
        <v>3.1212593613990753</v>
      </c>
      <c r="D40">
        <f t="shared" si="1"/>
        <v>3.1672294681862381</v>
      </c>
      <c r="E40">
        <f t="shared" si="4"/>
        <v>3.1415926535897971</v>
      </c>
      <c r="F40">
        <f t="shared" si="3"/>
        <v>2</v>
      </c>
    </row>
    <row r="41" spans="1:6" x14ac:dyDescent="0.2">
      <c r="A41">
        <v>39</v>
      </c>
      <c r="B41">
        <f t="shared" si="0"/>
        <v>3.1415926535892931</v>
      </c>
      <c r="C41">
        <f t="shared" si="2"/>
        <v>3.1217724732454339</v>
      </c>
      <c r="D41">
        <f t="shared" si="1"/>
        <v>3.1165965567938332</v>
      </c>
      <c r="E41">
        <f t="shared" si="4"/>
        <v>3.1415926535897971</v>
      </c>
      <c r="F41">
        <f t="shared" si="3"/>
        <v>2</v>
      </c>
    </row>
    <row r="42" spans="1:6" x14ac:dyDescent="0.2">
      <c r="A42">
        <v>40</v>
      </c>
      <c r="B42">
        <f t="shared" si="0"/>
        <v>3.1415926535895458</v>
      </c>
      <c r="C42">
        <f t="shared" si="2"/>
        <v>3.1222603264214372</v>
      </c>
      <c r="D42">
        <f t="shared" si="1"/>
        <v>3.1659792728432157</v>
      </c>
      <c r="E42">
        <f t="shared" si="4"/>
        <v>3.1415926535897971</v>
      </c>
      <c r="F42">
        <f t="shared" si="3"/>
        <v>2</v>
      </c>
    </row>
    <row r="43" spans="1:6" x14ac:dyDescent="0.2">
      <c r="A43">
        <v>41</v>
      </c>
      <c r="B43">
        <f t="shared" si="0"/>
        <v>3.1415926535896705</v>
      </c>
      <c r="C43">
        <f t="shared" si="2"/>
        <v>3.1227247411658103</v>
      </c>
      <c r="D43">
        <f t="shared" si="1"/>
        <v>3.1177865017588782</v>
      </c>
      <c r="E43">
        <f t="shared" si="4"/>
        <v>3.1415926535897971</v>
      </c>
      <c r="F43">
        <f t="shared" si="3"/>
        <v>2</v>
      </c>
    </row>
    <row r="44" spans="1:6" x14ac:dyDescent="0.2">
      <c r="A44">
        <v>42</v>
      </c>
      <c r="B44">
        <f t="shared" si="0"/>
        <v>3.1415926535897323</v>
      </c>
      <c r="C44">
        <f t="shared" si="2"/>
        <v>3.1231673669264293</v>
      </c>
      <c r="D44">
        <f t="shared" si="1"/>
        <v>3.1648453252882898</v>
      </c>
      <c r="E44">
        <f t="shared" si="4"/>
        <v>3.1415926535897971</v>
      </c>
      <c r="F44">
        <f t="shared" si="3"/>
        <v>2</v>
      </c>
    </row>
    <row r="45" spans="1:6" x14ac:dyDescent="0.2">
      <c r="A45">
        <v>43</v>
      </c>
      <c r="B45">
        <f t="shared" si="0"/>
        <v>3.1415926535897629</v>
      </c>
      <c r="C45">
        <f t="shared" si="2"/>
        <v>3.1235897019320986</v>
      </c>
      <c r="D45">
        <f t="shared" si="1"/>
        <v>3.118868313794037</v>
      </c>
      <c r="E45">
        <f t="shared" si="4"/>
        <v>3.1415926535897971</v>
      </c>
      <c r="F45">
        <f t="shared" si="3"/>
        <v>2</v>
      </c>
    </row>
    <row r="46" spans="1:6" x14ac:dyDescent="0.2">
      <c r="A46">
        <v>44</v>
      </c>
      <c r="B46">
        <f t="shared" si="0"/>
        <v>3.141592653589778</v>
      </c>
      <c r="C46">
        <f t="shared" si="2"/>
        <v>3.1239931101333038</v>
      </c>
      <c r="D46">
        <f t="shared" si="1"/>
        <v>3.1638121340187562</v>
      </c>
      <c r="E46">
        <f t="shared" si="4"/>
        <v>3.1415926535897971</v>
      </c>
      <c r="F46">
        <f t="shared" si="3"/>
        <v>2</v>
      </c>
    </row>
    <row r="47" spans="1:6" x14ac:dyDescent="0.2">
      <c r="A47">
        <v>45</v>
      </c>
      <c r="B47">
        <f t="shared" si="0"/>
        <v>3.1415926535897856</v>
      </c>
      <c r="C47">
        <f t="shared" si="2"/>
        <v>3.1243788359155156</v>
      </c>
      <c r="D47">
        <f t="shared" si="1"/>
        <v>3.1198560900627124</v>
      </c>
      <c r="E47">
        <f t="shared" si="4"/>
        <v>3.1415926535897971</v>
      </c>
      <c r="F47">
        <f t="shared" si="3"/>
        <v>2</v>
      </c>
    </row>
    <row r="48" spans="1:6" x14ac:dyDescent="0.2">
      <c r="A48">
        <v>46</v>
      </c>
      <c r="B48">
        <f t="shared" si="0"/>
        <v>3.1415926535897891</v>
      </c>
      <c r="C48">
        <f t="shared" si="2"/>
        <v>3.1247480169194048</v>
      </c>
      <c r="D48">
        <f t="shared" si="1"/>
        <v>3.1628668427508844</v>
      </c>
      <c r="E48">
        <f t="shared" si="4"/>
        <v>3.1415926535897971</v>
      </c>
      <c r="F48">
        <f t="shared" si="3"/>
        <v>2</v>
      </c>
    </row>
    <row r="49" spans="1:6" x14ac:dyDescent="0.2">
      <c r="A49">
        <v>47</v>
      </c>
      <c r="B49">
        <f t="shared" si="0"/>
        <v>3.1415926535897909</v>
      </c>
      <c r="C49">
        <f t="shared" si="2"/>
        <v>3.1251016952461641</v>
      </c>
      <c r="D49">
        <f t="shared" si="1"/>
        <v>3.1207615795929895</v>
      </c>
      <c r="E49">
        <f t="shared" si="4"/>
        <v>3.1415926535897971</v>
      </c>
      <c r="F49">
        <f t="shared" si="3"/>
        <v>2</v>
      </c>
    </row>
    <row r="50" spans="1:6" x14ac:dyDescent="0.2">
      <c r="A50">
        <v>48</v>
      </c>
      <c r="B50">
        <f t="shared" si="0"/>
        <v>3.1415926535897918</v>
      </c>
      <c r="C50">
        <f t="shared" si="2"/>
        <v>3.1254408272803742</v>
      </c>
      <c r="D50">
        <f t="shared" si="1"/>
        <v>3.1619986929950512</v>
      </c>
      <c r="E50">
        <f t="shared" si="4"/>
        <v>3.1415926535897971</v>
      </c>
      <c r="F50">
        <f t="shared" si="3"/>
        <v>2</v>
      </c>
    </row>
    <row r="51" spans="1:6" x14ac:dyDescent="0.2">
      <c r="A51">
        <v>49</v>
      </c>
      <c r="B51">
        <f t="shared" si="0"/>
        <v>3.1415926535897922</v>
      </c>
      <c r="C51">
        <f t="shared" si="2"/>
        <v>3.1257662923253897</v>
      </c>
      <c r="D51">
        <f t="shared" si="1"/>
        <v>3.121594652591011</v>
      </c>
      <c r="E51">
        <f t="shared" si="4"/>
        <v>3.1415926535897971</v>
      </c>
      <c r="F51">
        <f t="shared" si="3"/>
        <v>2</v>
      </c>
    </row>
    <row r="52" spans="1:6" x14ac:dyDescent="0.2">
      <c r="A52">
        <v>50</v>
      </c>
      <c r="B52">
        <f t="shared" si="0"/>
        <v>3.1415926535897922</v>
      </c>
      <c r="C52">
        <f t="shared" si="2"/>
        <v>3.1260789002154108</v>
      </c>
      <c r="D52">
        <f t="shared" si="1"/>
        <v>3.1611986129870506</v>
      </c>
      <c r="E52">
        <f t="shared" si="4"/>
        <v>3.1415926535897971</v>
      </c>
      <c r="F52">
        <f t="shared" si="3"/>
        <v>2</v>
      </c>
    </row>
    <row r="53" spans="1:6" x14ac:dyDescent="0.2">
      <c r="A53">
        <v>51</v>
      </c>
      <c r="B53">
        <f t="shared" si="0"/>
        <v>3.1415926535897922</v>
      </c>
      <c r="C53">
        <f t="shared" si="2"/>
        <v>3.1263793980429813</v>
      </c>
      <c r="D53">
        <f t="shared" si="1"/>
        <v>3.12236366153074</v>
      </c>
      <c r="E53">
        <f t="shared" si="4"/>
        <v>3.1415926535897971</v>
      </c>
      <c r="F53">
        <f t="shared" si="3"/>
        <v>2</v>
      </c>
    </row>
    <row r="54" spans="1:6" x14ac:dyDescent="0.2">
      <c r="A54">
        <v>52</v>
      </c>
      <c r="B54">
        <f t="shared" si="0"/>
        <v>3.1415926535897922</v>
      </c>
      <c r="C54">
        <f t="shared" si="2"/>
        <v>3.1266684761195456</v>
      </c>
      <c r="D54">
        <f t="shared" si="1"/>
        <v>3.1604588996259779</v>
      </c>
      <c r="E54">
        <f t="shared" si="4"/>
        <v>3.1415926535897971</v>
      </c>
      <c r="F54">
        <f t="shared" si="3"/>
        <v>2</v>
      </c>
    </row>
    <row r="55" spans="1:6" x14ac:dyDescent="0.2">
      <c r="A55">
        <v>53</v>
      </c>
      <c r="B55">
        <f t="shared" si="0"/>
        <v>3.1415926535897922</v>
      </c>
      <c r="C55">
        <f t="shared" si="2"/>
        <v>3.1269467732691778</v>
      </c>
      <c r="D55">
        <f t="shared" si="1"/>
        <v>3.1230757220558845</v>
      </c>
      <c r="E55">
        <f t="shared" si="4"/>
        <v>3.1415926535897971</v>
      </c>
      <c r="F55">
        <f t="shared" si="3"/>
        <v>2</v>
      </c>
    </row>
    <row r="56" spans="1:6" x14ac:dyDescent="0.2">
      <c r="A56">
        <v>54</v>
      </c>
      <c r="B56">
        <f t="shared" si="0"/>
        <v>3.1415926535897922</v>
      </c>
      <c r="C56">
        <f t="shared" si="2"/>
        <v>3.1272148815409149</v>
      </c>
      <c r="D56">
        <f t="shared" si="1"/>
        <v>3.1597729697623063</v>
      </c>
      <c r="E56">
        <f t="shared" si="4"/>
        <v>3.1415926535897971</v>
      </c>
      <c r="F56">
        <f t="shared" si="3"/>
        <v>2</v>
      </c>
    </row>
    <row r="57" spans="1:6" x14ac:dyDescent="0.2">
      <c r="A57">
        <v>55</v>
      </c>
      <c r="B57">
        <f t="shared" si="0"/>
        <v>3.1415926535897922</v>
      </c>
      <c r="C57">
        <f t="shared" si="2"/>
        <v>3.1274733504128496</v>
      </c>
      <c r="D57">
        <f t="shared" si="1"/>
        <v>3.1237369337262701</v>
      </c>
      <c r="E57">
        <f t="shared" si="4"/>
        <v>3.1415926535897971</v>
      </c>
      <c r="F57">
        <f t="shared" si="3"/>
        <v>2</v>
      </c>
    </row>
    <row r="58" spans="1:6" x14ac:dyDescent="0.2">
      <c r="A58">
        <v>56</v>
      </c>
      <c r="B58">
        <f t="shared" si="0"/>
        <v>3.1415926535897922</v>
      </c>
      <c r="C58">
        <f t="shared" si="2"/>
        <v>3.1277226905508084</v>
      </c>
      <c r="D58">
        <f t="shared" si="1"/>
        <v>3.1591351638147658</v>
      </c>
      <c r="E58">
        <f t="shared" si="4"/>
        <v>3.1415926535897971</v>
      </c>
      <c r="F58">
        <f t="shared" si="3"/>
        <v>2</v>
      </c>
    </row>
    <row r="59" spans="1:6" x14ac:dyDescent="0.2">
      <c r="A59">
        <v>57</v>
      </c>
      <c r="B59">
        <f t="shared" si="0"/>
        <v>3.1415926535897922</v>
      </c>
      <c r="C59">
        <f t="shared" si="2"/>
        <v>3.1279633771757065</v>
      </c>
      <c r="D59">
        <f t="shared" si="1"/>
        <v>3.1243525551191138</v>
      </c>
      <c r="E59">
        <f t="shared" si="4"/>
        <v>3.1415926535897971</v>
      </c>
      <c r="F59">
        <f t="shared" si="3"/>
        <v>2</v>
      </c>
    </row>
    <row r="60" spans="1:6" x14ac:dyDescent="0.2">
      <c r="A60">
        <v>58</v>
      </c>
      <c r="B60">
        <f t="shared" si="0"/>
        <v>3.1415926535897922</v>
      </c>
      <c r="C60">
        <f t="shared" si="2"/>
        <v>3.1281958530863103</v>
      </c>
      <c r="D60">
        <f t="shared" si="1"/>
        <v>3.1585405893071479</v>
      </c>
      <c r="E60">
        <f t="shared" si="4"/>
        <v>3.1415926535897971</v>
      </c>
      <c r="F60">
        <f t="shared" si="3"/>
        <v>2</v>
      </c>
    </row>
    <row r="61" spans="1:6" x14ac:dyDescent="0.2">
      <c r="A61">
        <v>59</v>
      </c>
      <c r="B61">
        <f t="shared" si="0"/>
        <v>3.1415926535897922</v>
      </c>
      <c r="C61">
        <f t="shared" si="2"/>
        <v>3.1284205313778486</v>
      </c>
      <c r="D61">
        <f t="shared" si="1"/>
        <v>3.1249271439289967</v>
      </c>
      <c r="E61">
        <f t="shared" si="4"/>
        <v>3.1415926535897971</v>
      </c>
      <c r="F61">
        <f t="shared" si="3"/>
        <v>2</v>
      </c>
    </row>
    <row r="62" spans="1:6" x14ac:dyDescent="0.2">
      <c r="A62">
        <v>60</v>
      </c>
      <c r="B62">
        <f t="shared" si="0"/>
        <v>3.1415926535897922</v>
      </c>
      <c r="C62">
        <f t="shared" si="2"/>
        <v>3.1286377978915914</v>
      </c>
      <c r="D62">
        <f t="shared" si="1"/>
        <v>3.157984995168666</v>
      </c>
      <c r="E62">
        <f t="shared" si="4"/>
        <v>3.1415926535897971</v>
      </c>
      <c r="F62">
        <f t="shared" si="3"/>
        <v>2</v>
      </c>
    </row>
    <row r="63" spans="1:6" x14ac:dyDescent="0.2">
      <c r="A63">
        <v>61</v>
      </c>
      <c r="B63">
        <f t="shared" si="0"/>
        <v>3.1415926535897922</v>
      </c>
      <c r="C63">
        <f t="shared" si="2"/>
        <v>3.1288480134259524</v>
      </c>
      <c r="D63">
        <f t="shared" si="1"/>
        <v>3.1254646699654138</v>
      </c>
      <c r="E63">
        <f t="shared" si="4"/>
        <v>3.1415926535897971</v>
      </c>
      <c r="F63">
        <f t="shared" si="3"/>
        <v>2</v>
      </c>
    </row>
    <row r="64" spans="1:6" x14ac:dyDescent="0.2">
      <c r="A64">
        <v>62</v>
      </c>
      <c r="B64">
        <f t="shared" si="0"/>
        <v>3.1415926535897922</v>
      </c>
      <c r="C64">
        <f t="shared" si="2"/>
        <v>3.1290515157357688</v>
      </c>
      <c r="D64">
        <f t="shared" si="1"/>
        <v>3.1574646699654139</v>
      </c>
      <c r="E64">
        <f t="shared" si="4"/>
        <v>3.1415926535897971</v>
      </c>
      <c r="F64">
        <f t="shared" si="3"/>
        <v>2</v>
      </c>
    </row>
    <row r="65" spans="1:6" x14ac:dyDescent="0.2">
      <c r="A65">
        <v>63</v>
      </c>
      <c r="B65">
        <f t="shared" si="0"/>
        <v>3.1415926535897922</v>
      </c>
      <c r="C65">
        <f t="shared" si="2"/>
        <v>3.1292486213430593</v>
      </c>
      <c r="D65">
        <f t="shared" si="1"/>
        <v>3.1259686069732879</v>
      </c>
      <c r="E65">
        <f t="shared" si="4"/>
        <v>3.1415926535897971</v>
      </c>
      <c r="F65">
        <f t="shared" si="3"/>
        <v>2</v>
      </c>
    </row>
    <row r="66" spans="1:6" x14ac:dyDescent="0.2">
      <c r="A66">
        <v>64</v>
      </c>
      <c r="B66">
        <f t="shared" si="0"/>
        <v>3.1415926535897922</v>
      </c>
      <c r="C66">
        <f t="shared" si="2"/>
        <v>3.1294396271796789</v>
      </c>
      <c r="D66">
        <f t="shared" si="1"/>
        <v>3.1569763589112725</v>
      </c>
      <c r="E66">
        <f t="shared" si="4"/>
        <v>3.1415926535897971</v>
      </c>
      <c r="F66">
        <f t="shared" si="3"/>
        <v>2</v>
      </c>
    </row>
    <row r="67" spans="1:6" x14ac:dyDescent="0.2">
      <c r="A67">
        <v>65</v>
      </c>
      <c r="B67">
        <f t="shared" si="0"/>
        <v>3.1415926535897922</v>
      </c>
      <c r="C67">
        <f t="shared" si="2"/>
        <v>3.1296248120798023</v>
      </c>
      <c r="D67">
        <f t="shared" si="1"/>
        <v>3.1264420077662343</v>
      </c>
      <c r="E67">
        <f t="shared" si="4"/>
        <v>3.1415926535897971</v>
      </c>
      <c r="F67">
        <f t="shared" si="3"/>
        <v>2</v>
      </c>
    </row>
    <row r="68" spans="1:6" x14ac:dyDescent="0.2">
      <c r="A68">
        <v>66</v>
      </c>
      <c r="B68">
        <f t="shared" ref="B68:B102" si="5" xml:space="preserve"> B67 + 2^(A68 + 1) * FACT(A68)^2  / FACT(A68 * 2 + 1)</f>
        <v>3.1415926535897922</v>
      </c>
      <c r="C68">
        <f t="shared" si="2"/>
        <v>3.1298044381380059</v>
      </c>
      <c r="D68">
        <f t="shared" ref="D68:D102" si="6">D67 + 4*(((-1)^A68) / (2*A68 + 1))</f>
        <v>3.1565171957361589</v>
      </c>
      <c r="E68">
        <f t="shared" si="4"/>
        <v>3.1415926535897971</v>
      </c>
      <c r="F68">
        <f t="shared" si="3"/>
        <v>2</v>
      </c>
    </row>
    <row r="69" spans="1:6" x14ac:dyDescent="0.2">
      <c r="A69">
        <v>67</v>
      </c>
      <c r="B69">
        <f t="shared" si="5"/>
        <v>3.1415926535897922</v>
      </c>
      <c r="C69">
        <f t="shared" ref="C69:C102" si="7" xml:space="preserve"> (4*(A69^2)/((2*A69-1)*(2*A69+1)))*C68</f>
        <v>3.1299787519468691</v>
      </c>
      <c r="D69">
        <f t="shared" si="6"/>
        <v>3.1268875661065292</v>
      </c>
      <c r="E69">
        <f t="shared" si="4"/>
        <v>3.1415926535897971</v>
      </c>
      <c r="F69">
        <f t="shared" ref="F69:F102" si="8" xml:space="preserve"> SQRT(2 + F68)</f>
        <v>2</v>
      </c>
    </row>
    <row r="70" spans="1:6" x14ac:dyDescent="0.2">
      <c r="A70">
        <v>68</v>
      </c>
      <c r="B70">
        <f t="shared" si="5"/>
        <v>3.1415926535897922</v>
      </c>
      <c r="C70">
        <f t="shared" si="7"/>
        <v>3.1301479857263739</v>
      </c>
      <c r="D70">
        <f t="shared" si="6"/>
        <v>3.1560846463984999</v>
      </c>
      <c r="E70">
        <f t="shared" ref="E70:E102" si="9">E69 * (2 / F70)</f>
        <v>3.1415926535897971</v>
      </c>
      <c r="F70">
        <f t="shared" si="8"/>
        <v>2</v>
      </c>
    </row>
    <row r="71" spans="1:6" x14ac:dyDescent="0.2">
      <c r="A71">
        <v>69</v>
      </c>
      <c r="B71">
        <f t="shared" si="5"/>
        <v>3.1415926535897922</v>
      </c>
      <c r="C71">
        <f t="shared" si="7"/>
        <v>3.1303123583559871</v>
      </c>
      <c r="D71">
        <f t="shared" si="6"/>
        <v>3.1273076679812339</v>
      </c>
      <c r="E71">
        <f t="shared" si="9"/>
        <v>3.1415926535897971</v>
      </c>
      <c r="F71">
        <f t="shared" si="8"/>
        <v>2</v>
      </c>
    </row>
    <row r="72" spans="1:6" x14ac:dyDescent="0.2">
      <c r="A72">
        <v>70</v>
      </c>
      <c r="B72">
        <f t="shared" si="5"/>
        <v>3.1415926535897922</v>
      </c>
      <c r="C72">
        <f t="shared" si="7"/>
        <v>3.1304720763190645</v>
      </c>
      <c r="D72">
        <f t="shared" si="6"/>
        <v>3.1556764623074751</v>
      </c>
      <c r="E72">
        <f t="shared" si="9"/>
        <v>3.1415926535897971</v>
      </c>
      <c r="F72">
        <f t="shared" si="8"/>
        <v>2</v>
      </c>
    </row>
    <row r="73" spans="1:6" x14ac:dyDescent="0.2">
      <c r="A73">
        <v>71</v>
      </c>
      <c r="B73">
        <f t="shared" si="5"/>
        <v>3.1415926535897922</v>
      </c>
      <c r="C73">
        <f t="shared" si="7"/>
        <v>3.1306273345681501</v>
      </c>
      <c r="D73">
        <f t="shared" si="6"/>
        <v>3.1277044343354472</v>
      </c>
      <c r="E73">
        <f t="shared" si="9"/>
        <v>3.1415926535897971</v>
      </c>
      <c r="F73">
        <f t="shared" si="8"/>
        <v>2</v>
      </c>
    </row>
    <row r="74" spans="1:6" x14ac:dyDescent="0.2">
      <c r="A74">
        <v>72</v>
      </c>
      <c r="B74">
        <f t="shared" si="5"/>
        <v>3.1415926535897922</v>
      </c>
      <c r="C74">
        <f t="shared" si="7"/>
        <v>3.1307783173187924</v>
      </c>
      <c r="D74">
        <f t="shared" si="6"/>
        <v>3.155290641231999</v>
      </c>
      <c r="E74">
        <f t="shared" si="9"/>
        <v>3.1415926535897971</v>
      </c>
      <c r="F74">
        <f t="shared" si="8"/>
        <v>2</v>
      </c>
    </row>
    <row r="75" spans="1:6" x14ac:dyDescent="0.2">
      <c r="A75">
        <v>73</v>
      </c>
      <c r="B75">
        <f t="shared" si="5"/>
        <v>3.1415926535897922</v>
      </c>
      <c r="C75">
        <f t="shared" si="7"/>
        <v>3.1309251987786713</v>
      </c>
      <c r="D75">
        <f t="shared" si="6"/>
        <v>3.1280797568782575</v>
      </c>
      <c r="E75">
        <f t="shared" si="9"/>
        <v>3.1415926535897971</v>
      </c>
      <c r="F75">
        <f t="shared" si="8"/>
        <v>2</v>
      </c>
    </row>
    <row r="76" spans="1:6" x14ac:dyDescent="0.2">
      <c r="A76">
        <v>74</v>
      </c>
      <c r="B76">
        <f t="shared" si="5"/>
        <v>3.1415926535897922</v>
      </c>
      <c r="C76">
        <f t="shared" si="7"/>
        <v>3.1310681438181081</v>
      </c>
      <c r="D76">
        <f t="shared" si="6"/>
        <v>3.15492539446215</v>
      </c>
      <c r="E76">
        <f t="shared" si="9"/>
        <v>3.1415926535897971</v>
      </c>
      <c r="F76">
        <f t="shared" si="8"/>
        <v>2</v>
      </c>
    </row>
    <row r="77" spans="1:6" x14ac:dyDescent="0.2">
      <c r="A77">
        <v>75</v>
      </c>
      <c r="B77">
        <f t="shared" si="5"/>
        <v>3.1415926535897922</v>
      </c>
      <c r="C77">
        <f t="shared" si="7"/>
        <v>3.1312073085873782</v>
      </c>
      <c r="D77">
        <f t="shared" si="6"/>
        <v>3.1284353282369843</v>
      </c>
      <c r="E77">
        <f t="shared" si="9"/>
        <v>3.1415926535897971</v>
      </c>
      <c r="F77">
        <f t="shared" si="8"/>
        <v>2</v>
      </c>
    </row>
    <row r="78" spans="1:6" x14ac:dyDescent="0.2">
      <c r="A78">
        <v>76</v>
      </c>
      <c r="B78">
        <f t="shared" si="5"/>
        <v>3.1415926535897922</v>
      </c>
      <c r="C78">
        <f t="shared" si="7"/>
        <v>3.1313428410856936</v>
      </c>
      <c r="D78">
        <f t="shared" si="6"/>
        <v>3.1545791190866574</v>
      </c>
      <c r="E78">
        <f t="shared" si="9"/>
        <v>3.1415926535897971</v>
      </c>
      <c r="F78">
        <f t="shared" si="8"/>
        <v>2</v>
      </c>
    </row>
    <row r="79" spans="1:6" x14ac:dyDescent="0.2">
      <c r="A79">
        <v>77</v>
      </c>
      <c r="B79">
        <f t="shared" si="5"/>
        <v>3.1415926535897922</v>
      </c>
      <c r="C79">
        <f t="shared" si="7"/>
        <v>3.1314748816862035</v>
      </c>
      <c r="D79">
        <f t="shared" si="6"/>
        <v>3.1287726674737542</v>
      </c>
      <c r="E79">
        <f t="shared" si="9"/>
        <v>3.1415926535897971</v>
      </c>
      <c r="F79">
        <f t="shared" si="8"/>
        <v>2</v>
      </c>
    </row>
    <row r="80" spans="1:6" x14ac:dyDescent="0.2">
      <c r="A80">
        <v>78</v>
      </c>
      <c r="B80">
        <f t="shared" si="5"/>
        <v>3.1415926535897922</v>
      </c>
      <c r="C80">
        <f t="shared" si="7"/>
        <v>3.1316035636209349</v>
      </c>
      <c r="D80">
        <f t="shared" si="6"/>
        <v>3.1542503744801236</v>
      </c>
      <c r="E80">
        <f t="shared" si="9"/>
        <v>3.1415926535897971</v>
      </c>
      <c r="F80">
        <f t="shared" si="8"/>
        <v>2</v>
      </c>
    </row>
    <row r="81" spans="1:6" x14ac:dyDescent="0.2">
      <c r="A81">
        <v>79</v>
      </c>
      <c r="B81">
        <f t="shared" si="5"/>
        <v>3.1415926535897922</v>
      </c>
      <c r="C81">
        <f t="shared" si="7"/>
        <v>3.131729013429196</v>
      </c>
      <c r="D81">
        <f t="shared" si="6"/>
        <v>3.1290931417757211</v>
      </c>
      <c r="E81">
        <f t="shared" si="9"/>
        <v>3.1415926535897971</v>
      </c>
      <c r="F81">
        <f t="shared" si="8"/>
        <v>2</v>
      </c>
    </row>
    <row r="82" spans="1:6" x14ac:dyDescent="0.2">
      <c r="A82">
        <v>80</v>
      </c>
      <c r="B82">
        <f t="shared" si="5"/>
        <v>3.1415926535897922</v>
      </c>
      <c r="C82">
        <f t="shared" si="7"/>
        <v>3.1318513513726089</v>
      </c>
      <c r="D82">
        <f t="shared" si="6"/>
        <v>3.1539378622726155</v>
      </c>
      <c r="E82">
        <f t="shared" si="9"/>
        <v>3.1415926535897971</v>
      </c>
      <c r="F82">
        <f t="shared" si="8"/>
        <v>2</v>
      </c>
    </row>
    <row r="83" spans="1:6" x14ac:dyDescent="0.2">
      <c r="A83">
        <v>81</v>
      </c>
      <c r="B83">
        <f t="shared" si="5"/>
        <v>3.1415926535897922</v>
      </c>
      <c r="C83">
        <f t="shared" si="7"/>
        <v>3.1319706918196375</v>
      </c>
      <c r="D83">
        <f t="shared" si="6"/>
        <v>3.1293979849720022</v>
      </c>
      <c r="E83">
        <f t="shared" si="9"/>
        <v>3.1415926535897971</v>
      </c>
      <c r="F83">
        <f t="shared" si="8"/>
        <v>2</v>
      </c>
    </row>
    <row r="84" spans="1:6" x14ac:dyDescent="0.2">
      <c r="A84">
        <v>82</v>
      </c>
      <c r="B84">
        <f t="shared" si="5"/>
        <v>3.1415926535897922</v>
      </c>
      <c r="C84">
        <f t="shared" si="7"/>
        <v>3.1320871436021926</v>
      </c>
      <c r="D84">
        <f t="shared" si="6"/>
        <v>3.1536404092144266</v>
      </c>
      <c r="E84">
        <f t="shared" si="9"/>
        <v>3.1415926535897971</v>
      </c>
      <c r="F84">
        <f t="shared" si="8"/>
        <v>2</v>
      </c>
    </row>
    <row r="85" spans="1:6" x14ac:dyDescent="0.2">
      <c r="A85">
        <v>83</v>
      </c>
      <c r="B85">
        <f t="shared" si="5"/>
        <v>3.1415926535897922</v>
      </c>
      <c r="C85">
        <f t="shared" si="7"/>
        <v>3.1322008103466525</v>
      </c>
      <c r="D85">
        <f t="shared" si="6"/>
        <v>3.1296883134060431</v>
      </c>
      <c r="E85">
        <f t="shared" si="9"/>
        <v>3.1415926535897971</v>
      </c>
      <c r="F85">
        <f t="shared" si="8"/>
        <v>2</v>
      </c>
    </row>
    <row r="86" spans="1:6" x14ac:dyDescent="0.2">
      <c r="A86">
        <v>84</v>
      </c>
      <c r="B86">
        <f t="shared" si="5"/>
        <v>3.1415926535897922</v>
      </c>
      <c r="C86">
        <f t="shared" si="7"/>
        <v>3.1323117907814169</v>
      </c>
      <c r="D86">
        <f t="shared" si="6"/>
        <v>3.1533569524592977</v>
      </c>
      <c r="E86">
        <f t="shared" si="9"/>
        <v>3.1415926535897971</v>
      </c>
      <c r="F86">
        <f t="shared" si="8"/>
        <v>2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2022-10-06T14:43:00Z</dcterms:created>
  <dcterms:modified xsi:type="dcterms:W3CDTF">2022-10-07T15:29:37Z</dcterms:modified>
</cp:coreProperties>
</file>